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p005" sheetId="2" state="visible" r:id="rId2"/>
    <sheet name="p01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2" customWidth="1" min="3" max="3"/>
  </cols>
  <sheetData>
    <row r="1">
      <c r="A1" t="inlineStr">
        <is>
          <t>page_idx</t>
        </is>
      </c>
      <c r="B1" t="inlineStr">
        <is>
          <t>page_no</t>
        </is>
      </c>
      <c r="C1" t="inlineStr">
        <is>
          <t>table_count</t>
        </is>
      </c>
    </row>
    <row r="2">
      <c r="A2" t="n">
        <v>4</v>
      </c>
      <c r="B2" t="n">
        <v>5</v>
      </c>
      <c r="C2" t="n">
        <v>1</v>
      </c>
    </row>
    <row r="3">
      <c r="A3" t="n">
        <v>10</v>
      </c>
      <c r="B3" t="n">
        <v>11</v>
      </c>
      <c r="C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46" customWidth="1" min="1" max="1"/>
    <col width="32" customWidth="1" min="2" max="2"/>
    <col width="12" customWidth="1" min="3" max="3"/>
    <col width="9" customWidth="1" min="4" max="4"/>
    <col width="14" customWidth="1" min="5" max="5"/>
    <col width="8" customWidth="1" min="6" max="6"/>
  </cols>
  <sheetData>
    <row r="1">
      <c r="A1" t="inlineStr">
        <is>
          <t>lines + explicit_vertical_lines=[27.0, 560.0]</t>
        </is>
      </c>
    </row>
    <row r="2"/>
    <row r="3">
      <c r="A3">
        <f>== table 0 (29 x 6) ===</f>
        <v/>
      </c>
    </row>
    <row r="4">
      <c r="A4" t="inlineStr">
        <is>
          <t>1. 기술경력
(책임정도의 *는 보정계수가 적용된 경력사항임</t>
        </is>
      </c>
      <c r="B4" t="inlineStr"/>
      <c r="C4" t="inlineStr"/>
      <c r="D4" t="inlineStr"/>
      <c r="E4" t="inlineStr"/>
      <c r="F4" t="inlineStr"/>
    </row>
    <row r="5">
      <c r="A5" t="inlineStr">
        <is>
          <t>참여기간
(인정일)
(참여일)</t>
        </is>
      </c>
      <c r="B5" t="inlineStr">
        <is>
          <t>사업명</t>
        </is>
      </c>
      <c r="C5" t="inlineStr"/>
      <c r="D5" t="inlineStr">
        <is>
          <t>직무분야</t>
        </is>
      </c>
      <c r="E5" t="inlineStr">
        <is>
          <t>담당업무</t>
        </is>
      </c>
      <c r="F5" t="inlineStr">
        <is>
          <t>비고</t>
        </is>
      </c>
    </row>
    <row r="6">
      <c r="A6" t="inlineStr"/>
      <c r="B6" t="inlineStr">
        <is>
          <t>발주자</t>
        </is>
      </c>
      <c r="C6" t="inlineStr">
        <is>
          <t>공사종류</t>
        </is>
      </c>
      <c r="D6" t="inlineStr">
        <is>
          <t>전문분야</t>
        </is>
      </c>
      <c r="E6" t="inlineStr">
        <is>
          <t>직위</t>
        </is>
      </c>
      <c r="F6" t="inlineStr"/>
    </row>
    <row r="7">
      <c r="A7" t="inlineStr"/>
      <c r="B7" t="inlineStr">
        <is>
          <t>공사(용역)개요</t>
        </is>
      </c>
      <c r="C7" t="inlineStr"/>
      <c r="D7" t="inlineStr">
        <is>
          <t>책임정도</t>
        </is>
      </c>
      <c r="E7" t="inlineStr">
        <is>
          <t>공사(용역)금액(백만원)</t>
        </is>
      </c>
      <c r="F7" t="inlineStr"/>
    </row>
    <row r="8">
      <c r="A8" t="inlineStr"/>
      <c r="B8" t="inlineStr">
        <is>
          <t>적용 공법</t>
        </is>
      </c>
      <c r="C8" t="inlineStr">
        <is>
          <t>적용 융ㆍ복합건설기술</t>
        </is>
      </c>
      <c r="D8" t="inlineStr">
        <is>
          <t>적용 신기술 등</t>
        </is>
      </c>
      <c r="E8" t="inlineStr">
        <is>
          <t>시설물 종류</t>
        </is>
      </c>
      <c r="F8" t="inlineStr"/>
    </row>
    <row r="9">
      <c r="A9" t="inlineStr">
        <is>
          <t>1999.12.06
~
2000.05.01
(148일)
(148일)</t>
        </is>
      </c>
      <c r="B9" t="inlineStr">
        <is>
          <t>본사견적</t>
        </is>
      </c>
      <c r="C9" t="inlineStr"/>
      <c r="D9" t="inlineStr">
        <is>
          <t>토목</t>
        </is>
      </c>
      <c r="E9" t="inlineStr"/>
      <c r="F9" t="inlineStr"/>
    </row>
    <row r="10">
      <c r="A10" t="inlineStr"/>
      <c r="B10" t="inlineStr"/>
      <c r="C10" t="inlineStr"/>
      <c r="D10" t="inlineStr"/>
      <c r="E10" t="inlineStr">
        <is>
          <t>기사</t>
        </is>
      </c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2000.05.02
~
2000.11.30
(213일)
(213일)</t>
        </is>
      </c>
      <c r="B13" t="inlineStr">
        <is>
          <t>작곡진입로확.포장공사</t>
        </is>
      </c>
      <c r="C13" t="inlineStr"/>
      <c r="D13" t="inlineStr">
        <is>
          <t>토목</t>
        </is>
      </c>
      <c r="E13" t="inlineStr">
        <is>
          <t>설계</t>
        </is>
      </c>
      <c r="F13" t="inlineStr"/>
    </row>
    <row r="14">
      <c r="A14" t="inlineStr"/>
      <c r="B14" t="inlineStr">
        <is>
          <t>예천군</t>
        </is>
      </c>
      <c r="C14" t="inlineStr">
        <is>
          <t>도로</t>
        </is>
      </c>
      <c r="D14" t="inlineStr">
        <is>
          <t>토목구조</t>
        </is>
      </c>
      <c r="E14" t="inlineStr">
        <is>
          <t>주임</t>
        </is>
      </c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2000.12.01
~
2001.06.30
(212일)
(212일)</t>
        </is>
      </c>
      <c r="B17" t="inlineStr">
        <is>
          <t>산촌지구경지정리사업</t>
        </is>
      </c>
      <c r="C17" t="inlineStr"/>
      <c r="D17" t="inlineStr">
        <is>
          <t>토목</t>
        </is>
      </c>
      <c r="E17" t="inlineStr">
        <is>
          <t>설계</t>
        </is>
      </c>
      <c r="F17" t="inlineStr"/>
    </row>
    <row r="18">
      <c r="A18" t="inlineStr"/>
      <c r="B18" t="inlineStr">
        <is>
          <t>구미시선산출장소</t>
        </is>
      </c>
      <c r="C18" t="inlineStr"/>
      <c r="D18" t="inlineStr">
        <is>
          <t>토목구조</t>
        </is>
      </c>
      <c r="E18" t="inlineStr">
        <is>
          <t>주임</t>
        </is>
      </c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2001.07.01
~
2002.04.08
(282일)
(282일)</t>
        </is>
      </c>
      <c r="B21" t="inlineStr">
        <is>
          <t>부산-매양간도로확.포장공사</t>
        </is>
      </c>
      <c r="C21" t="inlineStr"/>
      <c r="D21" t="inlineStr">
        <is>
          <t>토목</t>
        </is>
      </c>
      <c r="E21" t="inlineStr">
        <is>
          <t>설계</t>
        </is>
      </c>
      <c r="F21" t="inlineStr"/>
    </row>
    <row r="22">
      <c r="A22" t="inlineStr"/>
      <c r="B22" t="inlineStr">
        <is>
          <t>영천시</t>
        </is>
      </c>
      <c r="C22" t="inlineStr"/>
      <c r="D22" t="inlineStr">
        <is>
          <t>토목구조</t>
        </is>
      </c>
      <c r="E22" t="inlineStr">
        <is>
          <t>주임</t>
        </is>
      </c>
      <c r="F22" t="inlineStr"/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2002.04.09
~
2002.10.16
(151일)
(191일)</t>
        </is>
      </c>
      <c r="B25" t="inlineStr">
        <is>
          <t>지하철편의시설(1-4호선강북구간일반역사)기본및실시설계용역</t>
        </is>
      </c>
      <c r="C25" t="inlineStr"/>
      <c r="D25" t="inlineStr">
        <is>
          <t>토목</t>
        </is>
      </c>
      <c r="E25" t="inlineStr">
        <is>
          <t>설계</t>
        </is>
      </c>
      <c r="F25" t="inlineStr"/>
    </row>
    <row r="26">
      <c r="A26" t="inlineStr"/>
      <c r="B26" t="inlineStr">
        <is>
          <t>삼안건설기술공사</t>
        </is>
      </c>
      <c r="C26" t="inlineStr">
        <is>
          <t>지하철</t>
        </is>
      </c>
      <c r="D26" t="inlineStr">
        <is>
          <t>토목구조</t>
        </is>
      </c>
      <c r="E26" t="inlineStr">
        <is>
          <t>사원</t>
        </is>
      </c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>
        <is>
          <t>2002.07.29
~
2002.11.30
(82일)
(125일)</t>
        </is>
      </c>
      <c r="B29" t="inlineStr">
        <is>
          <t>미아~삼양간경전철민간제안사업</t>
        </is>
      </c>
      <c r="C29" t="inlineStr"/>
      <c r="D29" t="inlineStr">
        <is>
          <t>토목</t>
        </is>
      </c>
      <c r="E29" t="inlineStr">
        <is>
          <t>설계</t>
        </is>
      </c>
      <c r="F29" t="inlineStr"/>
    </row>
    <row r="30">
      <c r="A30" t="inlineStr"/>
      <c r="B30" t="inlineStr">
        <is>
          <t>삼안건설기술공사</t>
        </is>
      </c>
      <c r="C30" t="inlineStr">
        <is>
          <t>지하철</t>
        </is>
      </c>
      <c r="D30" t="inlineStr">
        <is>
          <t>토목구조</t>
        </is>
      </c>
      <c r="E30" t="inlineStr">
        <is>
          <t>사원</t>
        </is>
      </c>
      <c r="F30" t="inlineStr"/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/>
      <c r="B32" t="inlineStr"/>
      <c r="C32" t="inlineStr"/>
      <c r="D32" t="inlineStr"/>
      <c r="E32" t="inlineStr"/>
      <c r="F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12" customWidth="1" min="3" max="3"/>
    <col width="13" customWidth="1" min="4" max="4"/>
    <col width="16" customWidth="1" min="5" max="5"/>
    <col width="8" customWidth="1" min="6" max="6"/>
  </cols>
  <sheetData>
    <row r="1">
      <c r="A1" t="inlineStr">
        <is>
          <t>lines + explicit_vertical_lines=[27.0, 560.0]</t>
        </is>
      </c>
    </row>
    <row r="2"/>
    <row r="3">
      <c r="A3">
        <f>== table 0 (26 x 6) ===</f>
        <v/>
      </c>
    </row>
    <row r="4">
      <c r="A4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4" t="inlineStr"/>
      <c r="C4" t="inlineStr"/>
      <c r="D4" t="inlineStr"/>
      <c r="E4" t="inlineStr"/>
      <c r="F4" t="inlineStr"/>
    </row>
    <row r="5">
      <c r="A5" t="inlineStr">
        <is>
          <t>참여기간
(인정일)
(참여일)</t>
        </is>
      </c>
      <c r="B5" t="inlineStr">
        <is>
          <t>사업명</t>
        </is>
      </c>
      <c r="C5" t="inlineStr"/>
      <c r="D5" t="inlineStr">
        <is>
          <t>직무분야</t>
        </is>
      </c>
      <c r="E5" t="inlineStr">
        <is>
          <t>담당업무</t>
        </is>
      </c>
      <c r="F5" t="inlineStr">
        <is>
          <t>비고</t>
        </is>
      </c>
    </row>
    <row r="6">
      <c r="A6" t="inlineStr"/>
      <c r="B6" t="inlineStr">
        <is>
          <t>발주자</t>
        </is>
      </c>
      <c r="C6" t="inlineStr">
        <is>
          <t>공사종류</t>
        </is>
      </c>
      <c r="D6" t="inlineStr">
        <is>
          <t>전문분야</t>
        </is>
      </c>
      <c r="E6" t="inlineStr">
        <is>
          <t>직위</t>
        </is>
      </c>
      <c r="F6" t="inlineStr"/>
    </row>
    <row r="7">
      <c r="A7" t="inlineStr"/>
      <c r="B7" t="inlineStr">
        <is>
          <t>공사(용역)개요</t>
        </is>
      </c>
      <c r="C7" t="inlineStr"/>
      <c r="D7" t="inlineStr">
        <is>
          <t>책임정도</t>
        </is>
      </c>
      <c r="E7" t="inlineStr">
        <is>
          <t>공사(용역)금액(백만원)</t>
        </is>
      </c>
      <c r="F7" t="inlineStr"/>
    </row>
    <row r="8">
      <c r="A8" t="inlineStr"/>
      <c r="B8" t="inlineStr">
        <is>
          <t>적용 공법</t>
        </is>
      </c>
      <c r="C8" t="inlineStr">
        <is>
          <t>적용 융ㆍ복합건설기술</t>
        </is>
      </c>
      <c r="D8" t="inlineStr">
        <is>
          <t>적용 신기술 등</t>
        </is>
      </c>
      <c r="E8" t="inlineStr">
        <is>
          <t>시설물 종류</t>
        </is>
      </c>
      <c r="F8" t="inlineStr"/>
    </row>
    <row r="9">
      <c r="A9" t="inlineStr">
        <is>
          <t>2011.02.07
~
2019.10.18
(3,176일)
(3,176일)</t>
        </is>
      </c>
      <c r="B9" t="inlineStr">
        <is>
          <t>서면-근남2국도건설공사전면책임감리용역</t>
        </is>
      </c>
      <c r="C9" t="inlineStr"/>
      <c r="D9" t="inlineStr">
        <is>
          <t>토목</t>
        </is>
      </c>
      <c r="E9" t="inlineStr">
        <is>
          <t>건설사업관리(감독권한
대행)</t>
        </is>
      </c>
      <c r="F9" t="inlineStr"/>
    </row>
    <row r="10">
      <c r="A10" t="inlineStr"/>
      <c r="B10" t="inlineStr">
        <is>
          <t>부산지방국토관리청</t>
        </is>
      </c>
      <c r="C10" t="inlineStr">
        <is>
          <t>국도</t>
        </is>
      </c>
      <c r="D10" t="inlineStr">
        <is>
          <t>토목품질관리</t>
        </is>
      </c>
      <c r="E10" t="inlineStr">
        <is>
          <t>과장</t>
        </is>
      </c>
      <c r="F10" t="inlineStr"/>
    </row>
    <row r="11">
      <c r="A11" t="inlineStr"/>
      <c r="B11" t="inlineStr">
        <is>
          <t>도로신설9.7km(폭10.5m~20.0m),교량:2,115m/8개소(폭11.4m)[대흥4교(최대경강장
50m)],터널:936m/1개소,폭12.46m</t>
        </is>
      </c>
      <c r="C11" t="inlineStr"/>
      <c r="D11" t="inlineStr">
        <is>
          <t>상주기술인</t>
        </is>
      </c>
      <c r="E11" t="inlineStr">
        <is>
          <t>114,400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2020.02.10
~
2022.12.31
(1,056일)
(1,056일)</t>
        </is>
      </c>
      <c r="B13" t="inlineStr">
        <is>
          <t>보은국토 도로구조물분야 통합건설 사업관리용역</t>
        </is>
      </c>
      <c r="C13" t="inlineStr"/>
      <c r="D13" t="inlineStr">
        <is>
          <t>토목</t>
        </is>
      </c>
      <c r="E13" t="inlineStr">
        <is>
          <t>건설사업관리(감독권한
대행)</t>
        </is>
      </c>
      <c r="F13" t="inlineStr"/>
    </row>
    <row r="14">
      <c r="A14" t="inlineStr"/>
      <c r="B14" t="inlineStr">
        <is>
          <t>보은국토관리사무소</t>
        </is>
      </c>
      <c r="C14" t="inlineStr">
        <is>
          <t>국도</t>
        </is>
      </c>
      <c r="D14" t="inlineStr">
        <is>
          <t>토목품질관리</t>
        </is>
      </c>
      <c r="E14" t="inlineStr"/>
      <c r="F14" t="inlineStr"/>
    </row>
    <row r="15">
      <c r="A15" t="inlineStr"/>
      <c r="B15" t="inlineStr">
        <is>
          <t>위험도로 개선공사 1식, 구조물 유지보수공사 1식, 건설폐기물 처리용역 1식,
기타(내진보강 외)공사 (사업비 47,708백만원)</t>
        </is>
      </c>
      <c r="C15" t="inlineStr"/>
      <c r="D15" t="inlineStr">
        <is>
          <t>책임건설사업관
리기술인</t>
        </is>
      </c>
      <c r="E15" t="inlineStr">
        <is>
          <t>2,763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2023.01.01
~
2024.09.30
(254일)
(639일)</t>
        </is>
      </c>
      <c r="B17" t="inlineStr">
        <is>
          <t>파주운정 공공하수처리시설 증설공사 시공단계 감독권한대행 등 건설사
업관리용역</t>
        </is>
      </c>
      <c r="C17" t="inlineStr"/>
      <c r="D17" t="inlineStr">
        <is>
          <t>토목</t>
        </is>
      </c>
      <c r="E17" t="inlineStr">
        <is>
          <t>건설사업관리(감독권한
대행)</t>
        </is>
      </c>
      <c r="F17" t="inlineStr"/>
    </row>
    <row r="18">
      <c r="A18" t="inlineStr"/>
      <c r="B18" t="inlineStr">
        <is>
          <t>한국토지주택공사</t>
        </is>
      </c>
      <c r="C18" t="inlineStr">
        <is>
          <t>하수종말처리시설</t>
        </is>
      </c>
      <c r="D18" t="inlineStr">
        <is>
          <t>토목품질관리</t>
        </is>
      </c>
      <c r="E18" t="inlineStr"/>
      <c r="F18" t="inlineStr"/>
    </row>
    <row r="19">
      <c r="A19" t="inlineStr"/>
      <c r="B19" t="inlineStr">
        <is>
          <t>하수처리장 Q=60,000㎥/일 [수처리공법 : 간헐접촉포기산화공법(Denipho) 총인
시설(가압부상),] 제1중계펌프장 Q=16,500㎥/일, 제2중계펌프장 Q=62,000㎥/일</t>
        </is>
      </c>
      <c r="C19" t="inlineStr"/>
      <c r="D19" t="inlineStr">
        <is>
          <t>기술지원기술인</t>
        </is>
      </c>
      <c r="E19" t="inlineStr">
        <is>
          <t>96,653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2024.04.22
~
근 무 중
(295일)
(459일)</t>
        </is>
      </c>
      <c r="B21" t="inlineStr">
        <is>
          <t>모산,은실,지산초록(송탄)공원 조성공사 통합건설사업관리용역</t>
        </is>
      </c>
      <c r="C21" t="inlineStr"/>
      <c r="D21" t="inlineStr">
        <is>
          <t>토목</t>
        </is>
      </c>
      <c r="E21" t="inlineStr">
        <is>
          <t>건설사업관리(감독권한
대행)</t>
        </is>
      </c>
      <c r="F21" t="inlineStr"/>
    </row>
    <row r="22">
      <c r="A22" t="inlineStr"/>
      <c r="B22" t="inlineStr">
        <is>
          <t>평택시푸른도시사업소</t>
        </is>
      </c>
      <c r="C22" t="inlineStr">
        <is>
          <t>단지조성</t>
        </is>
      </c>
      <c r="D22" t="inlineStr">
        <is>
          <t>토목품질관리</t>
        </is>
      </c>
      <c r="E22" t="inlineStr"/>
      <c r="F22" t="inlineStr"/>
    </row>
    <row r="23">
      <c r="A23" t="inlineStr"/>
      <c r="B23" t="inlineStr">
        <is>
          <t>모산, 은실, 지산초록(송탄)공원 조성공사 (664,427평방미터)</t>
        </is>
      </c>
      <c r="C23" t="inlineStr"/>
      <c r="D23" t="inlineStr">
        <is>
          <t>기술지원기술인</t>
        </is>
      </c>
      <c r="E23" t="inlineStr">
        <is>
          <t>35,805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2024.05.27
~
2025.01.31
(103일)
(250일)</t>
        </is>
      </c>
      <c r="B25" t="inlineStr">
        <is>
          <t>낙화암천(영주지구)하천재해예방사업 건설사업관리용역</t>
        </is>
      </c>
      <c r="C25" t="inlineStr"/>
      <c r="D25" t="inlineStr">
        <is>
          <t>토목</t>
        </is>
      </c>
      <c r="E25" t="inlineStr">
        <is>
          <t>건설사업관리(감독권한
대행)</t>
        </is>
      </c>
      <c r="F25" t="inlineStr"/>
    </row>
    <row r="26">
      <c r="A26" t="inlineStr"/>
      <c r="B26" t="inlineStr">
        <is>
          <t>경상북도</t>
        </is>
      </c>
      <c r="C26" t="inlineStr">
        <is>
          <t>하천정비(지방)</t>
        </is>
      </c>
      <c r="D26" t="inlineStr">
        <is>
          <t>토목시공</t>
        </is>
      </c>
      <c r="E26" t="inlineStr"/>
      <c r="F26" t="inlineStr"/>
    </row>
    <row r="27">
      <c r="A27" t="inlineStr"/>
      <c r="B27" t="inlineStr">
        <is>
          <t>축제 및 호안 L=15.262km, 교량공 3개소, 배수구조물 61개소, 낙차공 16개소,
부대공 1식</t>
        </is>
      </c>
      <c r="C27" t="inlineStr"/>
      <c r="D27" t="inlineStr">
        <is>
          <t>기술지원기술인</t>
        </is>
      </c>
      <c r="E27" t="inlineStr">
        <is>
          <t>39,098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>
        <is>
          <t>「건설기술 진흥법 시행규칙」 제18조 제6항에 따라 건설기술인의 경력을 확인합니다.</t>
        </is>
      </c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2026-04-21T06:01:08Z</dcterms:created>
  <dcterms:modified xsi:type="dcterms:W3CDTF">2026-04-21T06:01:08Z</dcterms:modified>
</cp:coreProperties>
</file>