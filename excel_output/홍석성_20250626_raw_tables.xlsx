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  <sheet name="p002" sheetId="3" state="visible" r:id="rId3"/>
    <sheet name="p003" sheetId="4" state="visible" r:id="rId4"/>
    <sheet name="p004" sheetId="5" state="visible" r:id="rId5"/>
    <sheet name="p005" sheetId="6" state="visible" r:id="rId6"/>
    <sheet name="p006" sheetId="7" state="visible" r:id="rId7"/>
    <sheet name="p007" sheetId="8" state="visible" r:id="rId8"/>
    <sheet name="p008" sheetId="9" state="visible" r:id="rId9"/>
    <sheet name="p0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best_only=1 (merged candidates scored; title/note tables penalized)</t>
        </is>
      </c>
    </row>
    <row r="3">
      <c r="A3" t="n">
        <v>1</v>
      </c>
      <c r="B3" t="n">
        <v>2</v>
      </c>
      <c r="C3" t="n">
        <v>7</v>
      </c>
      <c r="D3" t="inlineStr">
        <is>
          <t>best_only=1 (merged candidates scored; title/note tables penalized)</t>
        </is>
      </c>
    </row>
    <row r="4">
      <c r="A4" t="n">
        <v>2</v>
      </c>
      <c r="B4" t="n">
        <v>3</v>
      </c>
      <c r="C4" t="n">
        <v>3</v>
      </c>
      <c r="D4" t="inlineStr">
        <is>
          <t>best_only=1 (merged candidates scored; title/note tables penalized)</t>
        </is>
      </c>
    </row>
    <row r="5">
      <c r="A5" t="n">
        <v>3</v>
      </c>
      <c r="B5" t="n">
        <v>4</v>
      </c>
      <c r="C5" t="n">
        <v>3</v>
      </c>
      <c r="D5" t="inlineStr">
        <is>
          <t>best_only=1 (merged candidates scored; title/note tables penalized)</t>
        </is>
      </c>
    </row>
    <row r="6">
      <c r="A6" t="n">
        <v>4</v>
      </c>
      <c r="B6" t="n">
        <v>5</v>
      </c>
      <c r="C6" t="n">
        <v>3</v>
      </c>
      <c r="D6" t="inlineStr">
        <is>
          <t>best_only=1 (merged candidates scored; title/note tables penalized)</t>
        </is>
      </c>
    </row>
    <row r="7">
      <c r="A7" t="n">
        <v>5</v>
      </c>
      <c r="B7" t="n">
        <v>6</v>
      </c>
      <c r="C7" t="n">
        <v>3</v>
      </c>
      <c r="D7" t="inlineStr">
        <is>
          <t>best_only=1 (merged candidates scored; title/note tables penalized)</t>
        </is>
      </c>
    </row>
    <row r="8">
      <c r="A8" t="n">
        <v>6</v>
      </c>
      <c r="B8" t="n">
        <v>7</v>
      </c>
      <c r="C8" t="n">
        <v>3</v>
      </c>
      <c r="D8" t="inlineStr">
        <is>
          <t>best_only=1 (merged candidates scored; title/note tables penalized)</t>
        </is>
      </c>
    </row>
    <row r="9">
      <c r="A9" t="n">
        <v>7</v>
      </c>
      <c r="B9" t="n">
        <v>8</v>
      </c>
      <c r="C9" t="n">
        <v>4</v>
      </c>
      <c r="D9" t="inlineStr">
        <is>
          <t>best_only=1 (merged candidates scored; title/note tables penalized)</t>
        </is>
      </c>
    </row>
    <row r="10">
      <c r="A10" t="n">
        <v>8</v>
      </c>
      <c r="B10" t="n">
        <v>9</v>
      </c>
      <c r="C10" t="n">
        <v>6</v>
      </c>
      <c r="D10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8" customWidth="1" min="3" max="3"/>
    <col width="21" customWidth="1" min="4" max="4"/>
    <col width="10" customWidth="1" min="5" max="5"/>
    <col width="55" customWidth="1" min="6" max="6"/>
    <col width="22" customWidth="1" min="7" max="7"/>
    <col width="26" customWidth="1" min="8" max="8"/>
    <col width="8" customWidth="1" min="9" max="9"/>
    <col width="8" customWidth="1" min="10" max="10"/>
    <col width="26" customWidth="1" min="11" max="11"/>
    <col width="8" customWidth="1" min="12" max="12"/>
    <col width="24" customWidth="1" min="13" max="13"/>
    <col width="8" customWidth="1" min="14" max="14"/>
    <col width="8" customWidth="1" min="15" max="15"/>
    <col width="24" customWidth="1" min="16" max="16"/>
    <col width="14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18" customWidth="1" min="23" max="23"/>
  </cols>
  <sheetData>
    <row r="1">
      <c r="A1">
        <f>== merged table 0  (33 x 23) ===</f>
        <v/>
      </c>
    </row>
    <row r="2">
      <c r="A2" t="inlineStr">
        <is>
          <t>관리번호 # 0 6 4 2 9 4 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20250626 - C01311923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홍석성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68.12.07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북구 설죽로 585, 101-1505 (일곡동, 쌍용아파트)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토목 특급</t>
        </is>
      </c>
      <c r="C9" t="inlineStr"/>
      <c r="D9" t="inlineStr"/>
      <c r="E9" t="inlineStr"/>
      <c r="F9" t="inlineStr">
        <is>
          <t>** 해당없음 **</t>
        </is>
      </c>
      <c r="G9" t="inlineStr"/>
      <c r="H9" t="inlineStr"/>
      <c r="I9" t="inlineStr"/>
      <c r="J9" t="inlineStr">
        <is>
          <t>토목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** 생략 **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도로및공항기술사
토목기사</t>
        </is>
      </c>
      <c r="C12" t="inlineStr"/>
      <c r="D12" t="inlineStr"/>
      <c r="E12" t="inlineStr"/>
      <c r="F12" t="inlineStr"/>
      <c r="G12" t="inlineStr">
        <is>
          <t>2002.11.25
1995.08.21</t>
        </is>
      </c>
      <c r="H12" t="inlineStr">
        <is>
          <t>02168060005T
95204060343O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1996.02.23</t>
        </is>
      </c>
      <c r="C15" t="inlineStr">
        <is>
          <t>호남대학교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학사[졸업]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2024.11.06 ~ 2024.11.12
2023.03.08 ~ 2023.04.28
2023.02.26 ~ 2023.03.10</t>
        </is>
      </c>
      <c r="C18" t="inlineStr"/>
      <c r="D18" t="inlineStr"/>
      <c r="E18" t="inlineStr"/>
      <c r="F18" t="inlineStr">
        <is>
          <t>건설사업관리기술인(안전관리)계속특급전문
교육
건설사업관리기술인최초특급전문교육(원격
교육)
건설사업관리기술인최초특급전문교육(원격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>
        <is>
          <t>** 해당없음 **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1995.10.23 ~
2021.10.03</t>
        </is>
      </c>
      <c r="C28" t="inlineStr"/>
      <c r="D28" t="inlineStr"/>
      <c r="E28" t="inlineStr">
        <is>
          <t>한국도로공사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2023.03.01 ~
2024.08.31</t>
        </is>
      </c>
      <c r="N28" t="inlineStr"/>
      <c r="O28" t="inlineStr"/>
      <c r="P28" t="inlineStr">
        <is>
          <t>(주)대한콘설탄트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2024.09.01 ~
근 무 중</t>
        </is>
      </c>
      <c r="C29" t="inlineStr"/>
      <c r="D29" t="inlineStr"/>
      <c r="E29" t="inlineStr">
        <is>
          <t>(주)한국종합기술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10" customWidth="1" min="4" max="4"/>
    <col width="8" customWidth="1" min="5" max="5"/>
    <col width="29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>
        <f>== merged table 0  (33 x 23) ===</f>
        <v/>
      </c>
    </row>
    <row r="2">
      <c r="A2" t="inlineStr">
        <is>
          <t>관리번호 # 0 6 4 2 9 4 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20250626 - C01311923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홍석성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68.12.07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북구 설죽로 585, 101-1505 (일곡동, 쌍용아파트)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2023.02.21 ~ 2023.03.03</t>
        </is>
      </c>
      <c r="C18" t="inlineStr"/>
      <c r="D18" t="inlineStr"/>
      <c r="E18" t="inlineStr"/>
      <c r="F18" t="inlineStr">
        <is>
          <t>교육)
건설사업관리기술인최초특급전문교육(원격
교육)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고서~순천간4차로확장공사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담당</t>
        </is>
      </c>
    </row>
    <row r="8">
      <c r="A8" t="inlineStr">
        <is>
          <t>연장:77㎞,폭:23.4m</t>
        </is>
      </c>
      <c r="B8" t="inlineStr"/>
      <c r="C8" t="inlineStr">
        <is>
          <t>*공사감독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대전~진주간고속도로건설공사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대리</t>
        </is>
      </c>
    </row>
    <row r="12">
      <c r="A12" t="inlineStr">
        <is>
          <t>연장:101㎞,폭:23.4m</t>
        </is>
      </c>
      <c r="B12" t="inlineStr"/>
      <c r="C12" t="inlineStr">
        <is>
          <t>*공사감독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호남지역본부도로부유지관리</t>
        </is>
      </c>
      <c r="B14" t="inlineStr"/>
      <c r="C14" t="inlineStr">
        <is>
          <t>토목</t>
        </is>
      </c>
      <c r="D14" t="inlineStr">
        <is>
          <t>유지관리</t>
        </is>
      </c>
    </row>
    <row r="15">
      <c r="A15" t="inlineStr">
        <is>
          <t>한국도로공사</t>
        </is>
      </c>
      <c r="B15" t="inlineStr"/>
      <c r="C15" t="inlineStr"/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고창-장성간고속도로건설공사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과장</t>
        </is>
      </c>
    </row>
    <row r="20">
      <c r="A20" t="inlineStr">
        <is>
          <t>연장:17.2㎞,폭:23.4m</t>
        </is>
      </c>
      <c r="B20" t="inlineStr"/>
      <c r="C20" t="inlineStr">
        <is>
          <t>*공사감독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고서~담양간고속도로확장공사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연장:17㎞,폭:23.4m 2차로→4차로로확장</t>
        </is>
      </c>
      <c r="B24" t="inlineStr"/>
      <c r="C24" t="inlineStr">
        <is>
          <t>*공사감독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목포~광양간고속도로건설공사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/>
      <c r="B28" t="inlineStr"/>
      <c r="C28" t="inlineStr">
        <is>
          <t>*공사감독</t>
        </is>
      </c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호남선134.72km한교천교전면개축공사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연장:84m,폭:13.1m,형식:RPF빔 DB18→DB24</t>
        </is>
      </c>
      <c r="B8" t="inlineStr"/>
      <c r="C8" t="inlineStr">
        <is>
          <t>*공사감독</t>
        </is>
      </c>
      <c r="D8" t="inlineStr">
        <is>
          <t>5,745</t>
        </is>
      </c>
    </row>
    <row r="9">
      <c r="A9" t="inlineStr"/>
      <c r="B9" t="inlineStr"/>
      <c r="C9" t="inlineStr"/>
      <c r="D9" t="inlineStr"/>
    </row>
    <row r="10">
      <c r="A10" t="inlineStr">
        <is>
          <t>호남선129.21KM정읍천교전면개축공사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연장:140M,폭:24.3M,종단조종:500M,형식;PF빔 DB18→DB24</t>
        </is>
      </c>
      <c r="B12" t="inlineStr"/>
      <c r="C12" t="inlineStr">
        <is>
          <t>*공사감독</t>
        </is>
      </c>
      <c r="D12" t="inlineStr">
        <is>
          <t>16,173</t>
        </is>
      </c>
    </row>
    <row r="13">
      <c r="A13" t="inlineStr"/>
      <c r="B13" t="inlineStr"/>
      <c r="C13" t="inlineStr"/>
      <c r="D13" t="inlineStr"/>
    </row>
    <row r="14">
      <c r="A14" t="inlineStr">
        <is>
          <t>호남선159.52KM지하통로확장공사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연장:10M 폭:24.3M 2.5*2.5→라멘교</t>
        </is>
      </c>
      <c r="B16" t="inlineStr"/>
      <c r="C16" t="inlineStr">
        <is>
          <t>*공사감독</t>
        </is>
      </c>
      <c r="D16" t="inlineStr">
        <is>
          <t>1,031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호남선162.32KM지하통로확장공사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연장:115M, 폭:8M 2.5*2.5→횡단육교(PF빔)</t>
        </is>
      </c>
      <c r="B20" t="inlineStr"/>
      <c r="C20" t="inlineStr">
        <is>
          <t>*공사감독</t>
        </is>
      </c>
      <c r="D20" t="inlineStr">
        <is>
          <t>1,796</t>
        </is>
      </c>
    </row>
    <row r="21">
      <c r="A21" t="inlineStr"/>
      <c r="B21" t="inlineStr"/>
      <c r="C21" t="inlineStr"/>
      <c r="D21" t="inlineStr"/>
    </row>
    <row r="22">
      <c r="A22" t="inlineStr">
        <is>
          <t>내진성능향상을위한내진보강공사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면진슈교체,감쇠기설치,전단키설치,기둥보강등</t>
        </is>
      </c>
      <c r="B24" t="inlineStr"/>
      <c r="C24" t="inlineStr">
        <is>
          <t>*공사감독</t>
        </is>
      </c>
      <c r="D24" t="inlineStr">
        <is>
          <t>1,211</t>
        </is>
      </c>
    </row>
    <row r="25">
      <c r="A25" t="inlineStr"/>
      <c r="B25" t="inlineStr"/>
      <c r="C25" t="inlineStr"/>
      <c r="D25" t="inlineStr"/>
    </row>
    <row r="26">
      <c r="A26" t="inlineStr">
        <is>
          <t>호남선169.72KM용정육교전면개축공사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연장:30M, 폭:24.3M 15M→30M RPF빔 DB18→DB24</t>
        </is>
      </c>
      <c r="B28" t="inlineStr"/>
      <c r="C28" t="inlineStr">
        <is>
          <t>*공사감독</t>
        </is>
      </c>
      <c r="D28" t="inlineStr">
        <is>
          <t>4,759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호남선153.38KM정동교전면개축공사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연장:30M, 폭:24.3M, 15M→30M WPC빔 DB18→DB24</t>
        </is>
      </c>
      <c r="B8" t="inlineStr"/>
      <c r="C8" t="inlineStr">
        <is>
          <t>*공사감독</t>
        </is>
      </c>
      <c r="D8" t="inlineStr">
        <is>
          <t>6,955</t>
        </is>
      </c>
    </row>
    <row r="9">
      <c r="A9" t="inlineStr"/>
      <c r="B9" t="inlineStr"/>
      <c r="C9" t="inlineStr"/>
      <c r="D9" t="inlineStr"/>
    </row>
    <row r="10">
      <c r="A10" t="inlineStr">
        <is>
          <t>호남선129.65KM정주IC육교개축실시설계용역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노후교량개축을위한실시설계시행</t>
        </is>
      </c>
      <c r="B12" t="inlineStr"/>
      <c r="C12" t="inlineStr">
        <is>
          <t>*용역감독</t>
        </is>
      </c>
      <c r="D12" t="inlineStr">
        <is>
          <t>113</t>
        </is>
      </c>
    </row>
    <row r="13">
      <c r="A13" t="inlineStr"/>
      <c r="B13" t="inlineStr"/>
      <c r="C13" t="inlineStr"/>
      <c r="D13" t="inlineStr"/>
    </row>
    <row r="14">
      <c r="A14" t="inlineStr">
        <is>
          <t>서해안선59.4KM와탄천교외34개교정밀점검용역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하자만료대상교량의1종시설물정밀점검시행</t>
        </is>
      </c>
      <c r="B16" t="inlineStr"/>
      <c r="C16" t="inlineStr">
        <is>
          <t>*용역감독</t>
        </is>
      </c>
      <c r="D16" t="inlineStr">
        <is>
          <t>183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호남선141.68KM동진강교전면개축공사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연장:130M, 폭:11.7M, DB18→DB24</t>
        </is>
      </c>
      <c r="B20" t="inlineStr"/>
      <c r="C20" t="inlineStr">
        <is>
          <t>*공사감독</t>
        </is>
      </c>
      <c r="D20" t="inlineStr">
        <is>
          <t>8,634</t>
        </is>
      </c>
    </row>
    <row r="21">
      <c r="A21" t="inlineStr"/>
      <c r="B21" t="inlineStr"/>
      <c r="C21" t="inlineStr"/>
      <c r="D21" t="inlineStr"/>
    </row>
    <row r="22">
      <c r="A22" t="inlineStr">
        <is>
          <t>호남선신전1교외5개교교면개량공사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바닥판열화교량내구성향상을교면개량</t>
        </is>
      </c>
      <c r="B24" t="inlineStr"/>
      <c r="C24" t="inlineStr">
        <is>
          <t>*공사감독</t>
        </is>
      </c>
      <c r="D24" t="inlineStr">
        <is>
          <t>3,191</t>
        </is>
      </c>
    </row>
    <row r="25">
      <c r="A25" t="inlineStr"/>
      <c r="B25" t="inlineStr"/>
      <c r="C25" t="inlineStr"/>
      <c r="D25" t="inlineStr"/>
    </row>
    <row r="26">
      <c r="A26" t="inlineStr">
        <is>
          <t>서해안선105.4KM죽림1교외7개교정밀점검용역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시특법상하자만료대상시설물1종시설물정밀점검시행</t>
        </is>
      </c>
      <c r="B28" t="inlineStr"/>
      <c r="C28" t="inlineStr">
        <is>
          <t>*용역감독</t>
        </is>
      </c>
      <c r="D28" t="inlineStr">
        <is>
          <t>91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호남선23.4KM보성강교개축실시설계용역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연장:405M, 폭:11.7M, 선형개량:1.5KM</t>
        </is>
      </c>
      <c r="B8" t="inlineStr"/>
      <c r="C8" t="inlineStr">
        <is>
          <t>*용역감독</t>
        </is>
      </c>
      <c r="D8" t="inlineStr">
        <is>
          <t>602</t>
        </is>
      </c>
    </row>
    <row r="9">
      <c r="A9" t="inlineStr"/>
      <c r="B9" t="inlineStr"/>
      <c r="C9" t="inlineStr"/>
      <c r="D9" t="inlineStr"/>
    </row>
    <row r="10">
      <c r="A10" t="inlineStr">
        <is>
          <t>남해선진정교외5개교내진성능향상보강공사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면진슈교체,감쇠기설치,전단키설치,기둥보강등</t>
        </is>
      </c>
      <c r="B12" t="inlineStr"/>
      <c r="C12" t="inlineStr">
        <is>
          <t>*공사감독</t>
        </is>
      </c>
      <c r="D12" t="inlineStr">
        <is>
          <t>1,100</t>
        </is>
      </c>
    </row>
    <row r="13">
      <c r="A13" t="inlineStr"/>
      <c r="B13" t="inlineStr"/>
      <c r="C13" t="inlineStr"/>
      <c r="D13" t="inlineStr"/>
    </row>
    <row r="14">
      <c r="A14" t="inlineStr">
        <is>
          <t>서해안선9.8KM양장교외16개교내진보강공사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면진슈교체,감쇠기설치,전단키설치,기둥보강등</t>
        </is>
      </c>
      <c r="B16" t="inlineStr"/>
      <c r="C16" t="inlineStr">
        <is>
          <t>*공사감독</t>
        </is>
      </c>
      <c r="D16" t="inlineStr">
        <is>
          <t>4,820</t>
        </is>
      </c>
    </row>
    <row r="17">
      <c r="A17" t="inlineStr"/>
      <c r="B17" t="inlineStr"/>
      <c r="C17" t="inlineStr"/>
      <c r="D17" t="inlineStr"/>
    </row>
    <row r="18">
      <c r="A18" t="inlineStr">
        <is>
          <t>호남선24.3KM보성강교전면개축공사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연장:400m, -폭원:23.4m(4차로) -설계속도:100㎞/h</t>
        </is>
      </c>
      <c r="B20" t="inlineStr"/>
      <c r="C20" t="inlineStr">
        <is>
          <t>*공사감독</t>
        </is>
      </c>
      <c r="D20" t="inlineStr">
        <is>
          <t>13,213</t>
        </is>
      </c>
    </row>
    <row r="21">
      <c r="A21" t="inlineStr"/>
      <c r="B21" t="inlineStr"/>
      <c r="C21" t="inlineStr"/>
      <c r="D21" t="inlineStr"/>
    </row>
    <row r="22">
      <c r="A22" t="inlineStr">
        <is>
          <t>서해안선군산철육교외6개교교면개량공사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바닥판열화교량내구성향상을위한교면개량시행</t>
        </is>
      </c>
      <c r="B24" t="inlineStr"/>
      <c r="C24" t="inlineStr">
        <is>
          <t>*공사감독</t>
        </is>
      </c>
      <c r="D24" t="inlineStr">
        <is>
          <t>997</t>
        </is>
      </c>
    </row>
    <row r="25">
      <c r="A25" t="inlineStr"/>
      <c r="B25" t="inlineStr"/>
      <c r="C25" t="inlineStr"/>
      <c r="D25" t="inlineStr"/>
    </row>
    <row r="26">
      <c r="A26" t="inlineStr">
        <is>
          <t>호남선24.3KM보성강교전면개축공사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연장:400m, -폭원:23.4m(4차로) -설계속도:100㎞/h</t>
        </is>
      </c>
      <c r="B28" t="inlineStr"/>
      <c r="C28" t="inlineStr">
        <is>
          <t>*공사감독</t>
        </is>
      </c>
      <c r="D28" t="inlineStr">
        <is>
          <t>13,213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고속국도제12호선담양-함양간확장공사(제7공구)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한국도로공사</t>
        </is>
      </c>
      <c r="B7" t="inlineStr">
        <is>
          <t>고속도로</t>
        </is>
      </c>
      <c r="C7" t="inlineStr">
        <is>
          <t>도로및공항</t>
        </is>
      </c>
      <c r="D7" t="inlineStr">
        <is>
          <t>차장</t>
        </is>
      </c>
    </row>
    <row r="8">
      <c r="A8" t="inlineStr">
        <is>
          <t>연장:10.2km, -폭원:23.4m(4차로) -설계속도:100㎞/h -IC:2개소 -교량:8개소/84
0m -터널:2개소/943m</t>
        </is>
      </c>
      <c r="B8" t="inlineStr"/>
      <c r="C8" t="inlineStr">
        <is>
          <t>*공사감독</t>
        </is>
      </c>
      <c r="D8" t="inlineStr">
        <is>
          <t>70</t>
        </is>
      </c>
    </row>
    <row r="9">
      <c r="A9" t="inlineStr"/>
      <c r="B9" t="inlineStr"/>
      <c r="C9" t="inlineStr"/>
      <c r="D9" t="inlineStr"/>
    </row>
    <row r="10">
      <c r="A10" t="inlineStr">
        <is>
          <t>고속국도제12호선담양-함양간확장공사(제2공구)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한국도로공사</t>
        </is>
      </c>
      <c r="B11" t="inlineStr">
        <is>
          <t>고속도로</t>
        </is>
      </c>
      <c r="C11" t="inlineStr">
        <is>
          <t>도로및공항</t>
        </is>
      </c>
      <c r="D11" t="inlineStr">
        <is>
          <t>차장</t>
        </is>
      </c>
    </row>
    <row r="12">
      <c r="A12" t="inlineStr">
        <is>
          <t>연장:12.73km, -폭원:23.4m(4차로) -설계속도:100㎞/h -교량:144개소/12,920m
-터널:1개소/1,601m</t>
        </is>
      </c>
      <c r="B12" t="inlineStr"/>
      <c r="C12" t="inlineStr">
        <is>
          <t>*공사감독</t>
        </is>
      </c>
      <c r="D12" t="inlineStr">
        <is>
          <t>113,175</t>
        </is>
      </c>
    </row>
    <row r="13">
      <c r="A13" t="inlineStr"/>
      <c r="B13" t="inlineStr"/>
      <c r="C13" t="inlineStr"/>
      <c r="D13" t="inlineStr"/>
    </row>
    <row r="14">
      <c r="A14" t="inlineStr">
        <is>
          <t>고속국도제500호선광주외곽순환건설공사(제2공구)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한국도로공사</t>
        </is>
      </c>
      <c r="B15" t="inlineStr">
        <is>
          <t>고속도로</t>
        </is>
      </c>
      <c r="C15" t="inlineStr">
        <is>
          <t>도로및공항</t>
        </is>
      </c>
      <c r="D15" t="inlineStr">
        <is>
          <t>차장</t>
        </is>
      </c>
    </row>
    <row r="16">
      <c r="A16" t="inlineStr">
        <is>
          <t>연장:3.8km, -폭원:23.4m(4차로) -설계속도:100㎞/h -IC:1개소 -JCT:1개소 -교
량:16개소/638m</t>
        </is>
      </c>
      <c r="B16" t="inlineStr"/>
      <c r="C16" t="inlineStr">
        <is>
          <t>*공사감독</t>
        </is>
      </c>
      <c r="D16" t="inlineStr">
        <is>
          <t>83,700</t>
        </is>
      </c>
    </row>
    <row r="17">
      <c r="A17" t="inlineStr"/>
      <c r="B17" t="inlineStr"/>
      <c r="C17" t="inlineStr"/>
      <c r="D17" t="inlineStr"/>
    </row>
    <row r="18">
      <c r="A18" t="inlineStr">
        <is>
          <t>고속도국도제255호선강진-광주간건설공사(제4공구)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한국도로공사</t>
        </is>
      </c>
      <c r="B19" t="inlineStr">
        <is>
          <t>고속도로</t>
        </is>
      </c>
      <c r="C19" t="inlineStr">
        <is>
          <t>도로및공항</t>
        </is>
      </c>
      <c r="D19" t="inlineStr">
        <is>
          <t>차장</t>
        </is>
      </c>
    </row>
    <row r="20">
      <c r="A20" t="inlineStr">
        <is>
          <t>연장:7.3km, -폭원:23.4m(4차로) -설계속도:100㎞/h -IC:1개소 -교량:10개소/2,
065m -터널:3개소/3,282m</t>
        </is>
      </c>
      <c r="B20" t="inlineStr"/>
      <c r="C20" t="inlineStr">
        <is>
          <t>*공사감독</t>
        </is>
      </c>
      <c r="D20" t="inlineStr">
        <is>
          <t>175,400</t>
        </is>
      </c>
    </row>
    <row r="21">
      <c r="A21" t="inlineStr"/>
      <c r="B21" t="inlineStr"/>
      <c r="C21" t="inlineStr"/>
      <c r="D21" t="inlineStr"/>
    </row>
    <row r="22">
      <c r="A22" t="inlineStr">
        <is>
          <t>고속도국도제255호선강진-광주간건설공사(제5공구)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한국도로공사</t>
        </is>
      </c>
      <c r="B23" t="inlineStr">
        <is>
          <t>고속도로</t>
        </is>
      </c>
      <c r="C23" t="inlineStr">
        <is>
          <t>도로및공항</t>
        </is>
      </c>
      <c r="D23" t="inlineStr">
        <is>
          <t>차장</t>
        </is>
      </c>
    </row>
    <row r="24">
      <c r="A24" t="inlineStr">
        <is>
          <t>연장:9.9km, -폭원:23.4m(4차로) -설계속도:100㎞/h -IC:1개소 -휴게소:1개소
-교량:24개소/1,688m -졸음쉼터:2개소</t>
        </is>
      </c>
      <c r="B24" t="inlineStr"/>
      <c r="C24" t="inlineStr">
        <is>
          <t>*공사감독</t>
        </is>
      </c>
      <c r="D24" t="inlineStr">
        <is>
          <t>153,600</t>
        </is>
      </c>
    </row>
    <row r="25">
      <c r="A25" t="inlineStr"/>
      <c r="B25" t="inlineStr"/>
      <c r="C25" t="inlineStr"/>
      <c r="D25" t="inlineStr"/>
    </row>
    <row r="26">
      <c r="A26" t="inlineStr">
        <is>
          <t>고속도국도제255호선강진-광주간건설공사(제1공구)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한국도로공사</t>
        </is>
      </c>
      <c r="B27" t="inlineStr">
        <is>
          <t>고속도로</t>
        </is>
      </c>
      <c r="C27" t="inlineStr">
        <is>
          <t>도로및공항</t>
        </is>
      </c>
      <c r="D27" t="inlineStr">
        <is>
          <t>차장</t>
        </is>
      </c>
    </row>
    <row r="28">
      <c r="A28" t="inlineStr">
        <is>
          <t>연장:5.1km, -폭원:23.4m(4차로) -설계속도:100㎞/h -JCT:1개소 -터널:1개소730
2m -교량:13개소/2,672m -졸음쉼터:1개소</t>
        </is>
      </c>
      <c r="B28" t="inlineStr"/>
      <c r="C28" t="inlineStr">
        <is>
          <t>*공사감독</t>
        </is>
      </c>
      <c r="D28" t="inlineStr">
        <is>
          <t>118,400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2" customWidth="1" min="3" max="3"/>
    <col width="8" customWidth="1" min="4" max="4"/>
    <col width="8" customWidth="1" min="5" max="5"/>
    <col width="8" customWidth="1" min="6" max="6"/>
    <col width="13" customWidth="1" min="7" max="7"/>
    <col width="16" customWidth="1" min="8" max="8"/>
    <col width="8" customWidth="1" min="9" max="9"/>
    <col width="8" customWidth="1" min="10" max="10"/>
  </cols>
  <sheetData>
    <row r="1">
      <c r="A1">
        <f>== merged table 0  (14 x 10) ===</f>
        <v/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융ㆍ복합건설기술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2023.03.01
~
2024.08.31
(550일)
(550일)</t>
        </is>
      </c>
      <c r="B7" t="inlineStr">
        <is>
          <t>국도20호선 청도 원정 모강 단구간확장사업 건설사업관리용역</t>
        </is>
      </c>
      <c r="C7" t="inlineStr"/>
      <c r="D7" t="inlineStr"/>
      <c r="E7" t="inlineStr"/>
      <c r="F7" t="inlineStr"/>
      <c r="G7" t="inlineStr">
        <is>
          <t>토목</t>
        </is>
      </c>
      <c r="H7" t="inlineStr">
        <is>
          <t>건설사업관리(감독권한
대행)</t>
        </is>
      </c>
      <c r="I7" t="inlineStr"/>
      <c r="J7" t="inlineStr"/>
    </row>
    <row r="8">
      <c r="A8" t="inlineStr"/>
      <c r="B8" t="inlineStr">
        <is>
          <t>김해국토관리사무소</t>
        </is>
      </c>
      <c r="C8" t="inlineStr">
        <is>
          <t>도로</t>
        </is>
      </c>
      <c r="D8" t="inlineStr"/>
      <c r="E8" t="inlineStr"/>
      <c r="F8" t="inlineStr"/>
      <c r="G8" t="inlineStr">
        <is>
          <t>도로및공항</t>
        </is>
      </c>
      <c r="H8" t="inlineStr"/>
      <c r="I8" t="inlineStr"/>
      <c r="J8" t="inlineStr"/>
    </row>
    <row r="9">
      <c r="A9" t="inlineStr"/>
      <c r="B9" t="inlineStr">
        <is>
          <t>도로확장(4차로, 단순확장), L=2.1km, 교량신설(L=670m) 1개소, 교차로 3개소
외</t>
        </is>
      </c>
      <c r="C9" t="inlineStr"/>
      <c r="D9" t="inlineStr"/>
      <c r="E9" t="inlineStr"/>
      <c r="F9" t="inlineStr"/>
      <c r="G9" t="inlineStr">
        <is>
          <t>책임건설사업관
리기술인</t>
        </is>
      </c>
      <c r="H9" t="inlineStr">
        <is>
          <t>30,287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「건설기술 진흥법 시행규칙」 제18조 제6항에 따라 건설기술인의 경력을 확인합니다.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○ 건설사업관리 업무 수행기간 : 550 일
- 상 주 : 550 일[감독 권한대행 등 건설사업관리 : 550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3. 배치금지( 「건설기술 진흥법 시행규칙」 제27조제2항제4호에 따라 철수한 경우만 기재)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용역명</t>
        </is>
      </c>
      <c r="B14" t="inlineStr"/>
      <c r="C14" t="inlineStr"/>
      <c r="D14" t="inlineStr">
        <is>
          <t>근무형태</t>
        </is>
      </c>
      <c r="E14" t="inlineStr">
        <is>
          <t>직책</t>
        </is>
      </c>
      <c r="F14" t="inlineStr">
        <is>
          <t>근무기간</t>
        </is>
      </c>
      <c r="G14" t="inlineStr"/>
      <c r="H14" t="inlineStr"/>
      <c r="I14" t="inlineStr">
        <is>
          <t>배치금지 기간</t>
        </is>
      </c>
      <c r="J14" t="inlineStr"/>
    </row>
    <row r="15">
      <c r="A15" t="inlineStr">
        <is>
          <t>** 해당없음 **</t>
        </is>
      </c>
      <c r="B15" t="inlineStr"/>
      <c r="C15" t="inlineStr"/>
      <c r="D15" t="inlineStr"/>
      <c r="E15" t="inlineStr"/>
      <c r="F15" t="inlineStr">
        <is>
          <t>~</t>
        </is>
      </c>
      <c r="G15" t="inlineStr"/>
      <c r="H15" t="inlineStr"/>
      <c r="I15" t="inlineStr">
        <is>
          <t>~</t>
        </is>
      </c>
      <c r="J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>
        <f>== merged table 0  (2 x 5) ===</f>
        <v/>
      </c>
    </row>
    <row r="2">
      <c r="A2" t="inlineStr">
        <is>
          <t>종목 및 등급</t>
        </is>
      </c>
      <c r="B2" t="inlineStr">
        <is>
          <t>합격일</t>
        </is>
      </c>
      <c r="C2" t="inlineStr">
        <is>
          <t>등록번호</t>
        </is>
      </c>
      <c r="D2" t="inlineStr">
        <is>
          <t>종목 및 등급</t>
        </is>
      </c>
      <c r="E2" t="inlineStr">
        <is>
          <t>합격일</t>
        </is>
      </c>
    </row>
    <row r="3">
      <c r="A3" t="inlineStr">
        <is>
          <t>** 해당없음 **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2026-04-21T06:04:20Z</dcterms:created>
  <dcterms:modified xsi:type="dcterms:W3CDTF">2026-04-21T06:04:23Z</dcterms:modified>
</cp:coreProperties>
</file>