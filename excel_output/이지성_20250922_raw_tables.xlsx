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1" sheetId="2" state="visible" r:id="rId2"/>
    <sheet name="p002" sheetId="3" state="visible" r:id="rId3"/>
    <sheet name="p003" sheetId="4" state="visible" r:id="rId4"/>
    <sheet name="p004" sheetId="5" state="visible" r:id="rId5"/>
    <sheet name="p005" sheetId="6" state="visible" r:id="rId6"/>
    <sheet name="p006" sheetId="7" state="visible" r:id="rId7"/>
    <sheet name="p007" sheetId="8" state="visible" r:id="rId8"/>
    <sheet name="p008" sheetId="9" state="visible" r:id="rId9"/>
    <sheet name="p009" sheetId="10" state="visible" r:id="rId10"/>
    <sheet name="p0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0</v>
      </c>
      <c r="B2" t="n">
        <v>1</v>
      </c>
      <c r="C2" t="n">
        <v>7</v>
      </c>
      <c r="D2" t="inlineStr">
        <is>
          <t>best_only=1 (merged candidates scored; title/note tables penalized)</t>
        </is>
      </c>
    </row>
    <row r="3">
      <c r="A3" t="n">
        <v>1</v>
      </c>
      <c r="B3" t="n">
        <v>2</v>
      </c>
      <c r="C3" t="n">
        <v>7</v>
      </c>
      <c r="D3" t="inlineStr">
        <is>
          <t>best_only=1 (merged candidates scored; title/note tables penalized)</t>
        </is>
      </c>
    </row>
    <row r="4">
      <c r="A4" t="n">
        <v>2</v>
      </c>
      <c r="B4" t="n">
        <v>3</v>
      </c>
      <c r="C4" t="n">
        <v>3</v>
      </c>
      <c r="D4" t="inlineStr">
        <is>
          <t>best_only=1 (merged candidates scored; title/note tables penalized)</t>
        </is>
      </c>
    </row>
    <row r="5">
      <c r="A5" t="n">
        <v>3</v>
      </c>
      <c r="B5" t="n">
        <v>4</v>
      </c>
      <c r="C5" t="n">
        <v>3</v>
      </c>
      <c r="D5" t="inlineStr">
        <is>
          <t>best_only=1 (merged candidates scored; title/note tables penalized)</t>
        </is>
      </c>
    </row>
    <row r="6">
      <c r="A6" t="n">
        <v>4</v>
      </c>
      <c r="B6" t="n">
        <v>5</v>
      </c>
      <c r="C6" t="n">
        <v>3</v>
      </c>
      <c r="D6" t="inlineStr">
        <is>
          <t>best_only=1 (merged candidates scored; title/note tables penalized)</t>
        </is>
      </c>
    </row>
    <row r="7">
      <c r="A7" t="n">
        <v>5</v>
      </c>
      <c r="B7" t="n">
        <v>6</v>
      </c>
      <c r="C7" t="n">
        <v>3</v>
      </c>
      <c r="D7" t="inlineStr">
        <is>
          <t>best_only=1 (merged candidates scored; title/note tables penalized)</t>
        </is>
      </c>
    </row>
    <row r="8">
      <c r="A8" t="n">
        <v>6</v>
      </c>
      <c r="B8" t="n">
        <v>7</v>
      </c>
      <c r="C8" t="n">
        <v>3</v>
      </c>
      <c r="D8" t="inlineStr">
        <is>
          <t>best_only=1 (merged candidates scored; title/note tables penalized)</t>
        </is>
      </c>
    </row>
    <row r="9">
      <c r="A9" t="n">
        <v>7</v>
      </c>
      <c r="B9" t="n">
        <v>8</v>
      </c>
      <c r="C9" t="n">
        <v>3</v>
      </c>
      <c r="D9" t="inlineStr">
        <is>
          <t>best_only=1 (merged candidates scored; title/note tables penalized)</t>
        </is>
      </c>
    </row>
    <row r="10">
      <c r="A10" t="n">
        <v>8</v>
      </c>
      <c r="B10" t="n">
        <v>9</v>
      </c>
      <c r="C10" t="n">
        <v>4</v>
      </c>
      <c r="D10" t="inlineStr">
        <is>
          <t>best_only=1 (merged candidates scored; title/note tables penalized)</t>
        </is>
      </c>
    </row>
    <row r="11">
      <c r="A11" t="n">
        <v>9</v>
      </c>
      <c r="B11" t="n">
        <v>10</v>
      </c>
      <c r="C11" t="n">
        <v>6</v>
      </c>
      <c r="D11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8" customWidth="1" min="3" max="3"/>
    <col width="21" customWidth="1" min="4" max="4"/>
    <col width="12" customWidth="1" min="5" max="5"/>
    <col width="55" customWidth="1" min="6" max="6"/>
    <col width="11" customWidth="1" min="7" max="7"/>
    <col width="13" customWidth="1" min="8" max="8"/>
    <col width="8" customWidth="1" min="9" max="9"/>
    <col width="8" customWidth="1" min="10" max="10"/>
    <col width="26" customWidth="1" min="11" max="11"/>
    <col width="8" customWidth="1" min="12" max="12"/>
    <col width="24" customWidth="1" min="13" max="13"/>
    <col width="8" customWidth="1" min="14" max="14"/>
    <col width="8" customWidth="1" min="15" max="15"/>
    <col width="38" customWidth="1" min="16" max="16"/>
    <col width="14" customWidth="1" min="17" max="17"/>
    <col width="9" customWidth="1" min="18" max="18"/>
    <col width="8" customWidth="1" min="19" max="19"/>
    <col width="8" customWidth="1" min="20" max="20"/>
    <col width="8" customWidth="1" min="21" max="21"/>
    <col width="8" customWidth="1" min="22" max="22"/>
    <col width="24" customWidth="1" min="23" max="23"/>
  </cols>
  <sheetData>
    <row r="1">
      <c r="A1">
        <f>== merged table 0  (33 x 23) ===</f>
        <v/>
      </c>
    </row>
    <row r="2">
      <c r="A2" t="inlineStr">
        <is>
          <t>관리번호 # 0 1 1 2 5 9 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20250922 - C01629469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이지성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64.01.21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광주 서구 시청로 26 15층 분양팀(치평동, 빛고을고객센터)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토목 특급</t>
        </is>
      </c>
      <c r="C9" t="inlineStr"/>
      <c r="D9" t="inlineStr"/>
      <c r="E9" t="inlineStr"/>
      <c r="F9" t="inlineStr">
        <is>
          <t>** 해당없음 **</t>
        </is>
      </c>
      <c r="G9" t="inlineStr"/>
      <c r="H9" t="inlineStr"/>
      <c r="I9" t="inlineStr"/>
      <c r="J9" t="inlineStr">
        <is>
          <t>토목 특급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** 생략 **</t>
        </is>
      </c>
      <c r="S9" t="inlineStr"/>
      <c r="T9" t="inlineStr"/>
      <c r="U9" t="inlineStr"/>
      <c r="V9" t="inlineStr">
        <is>
          <t>특급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>
        <is>
          <t>토목기사</t>
        </is>
      </c>
      <c r="C12" t="inlineStr"/>
      <c r="D12" t="inlineStr"/>
      <c r="E12" t="inlineStr"/>
      <c r="F12" t="inlineStr"/>
      <c r="G12" t="inlineStr">
        <is>
          <t>1991.03.06</t>
        </is>
      </c>
      <c r="H12" t="inlineStr">
        <is>
          <t>91201010041F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>
        <is>
          <t>1991.02.22</t>
        </is>
      </c>
      <c r="C15" t="inlineStr">
        <is>
          <t>홍익대학교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토목공학과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학사[졸업]</t>
        </is>
      </c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2024.02.04 ~ 2024.02.07
2023.02.08 ~ 2023.04.04
2022.11.18 ~ 2022.12.20
2022.10.01 ~ 2022.11.01</t>
        </is>
      </c>
      <c r="C18" t="inlineStr"/>
      <c r="D18" t="inlineStr"/>
      <c r="E18" t="inlineStr"/>
      <c r="F18" t="inlineStr">
        <is>
          <t>건설사업관리기술인(안전관리)계속특급전문
교육
건설사업관리기술인특급승급원격교육
건설사업관리기술인고급최초원격교육
건설사업관리기술인고급최초원격교육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건설기술호남교육원
건설기술호남교육원
건설기술호남교육원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건설사업관
건설사업관
건설사업관</t>
        </is>
      </c>
    </row>
    <row r="19">
      <c r="A19" t="inlineStr"/>
      <c r="B19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
- 품질관리 업무를 수행하는 건설기술인 계속교육: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>
        <is>
          <t>** 해당없음 **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 *해당없음*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
** 해당없음 **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1992.01.06 ~
1998.07.18</t>
        </is>
      </c>
      <c r="C28" t="inlineStr"/>
      <c r="D28" t="inlineStr"/>
      <c r="E28" t="inlineStr">
        <is>
          <t>대한주택공사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1998.08.10 ~
1999.04.30</t>
        </is>
      </c>
      <c r="N28" t="inlineStr"/>
      <c r="O28" t="inlineStr"/>
      <c r="P28" t="inlineStr">
        <is>
          <t>대한산업(주)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2000.07.20 ~
2023.06.30</t>
        </is>
      </c>
      <c r="C29" t="inlineStr"/>
      <c r="D29" t="inlineStr"/>
      <c r="E29" t="inlineStr">
        <is>
          <t>광주광역시도시공사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2023.07.01 ~
2024.01.31</t>
        </is>
      </c>
      <c r="N29" t="inlineStr"/>
      <c r="O29" t="inlineStr"/>
      <c r="P29" t="inlineStr">
        <is>
          <t>(주)해솔종합건축사사무소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2024.02.01 ~
2025.07.31</t>
        </is>
      </c>
      <c r="C30" t="inlineStr"/>
      <c r="D30" t="inlineStr"/>
      <c r="E30" t="inlineStr">
        <is>
          <t>(주)동해종합기술공사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2025.08.01 ~
근 무 중</t>
        </is>
      </c>
      <c r="N30" t="inlineStr"/>
      <c r="O30" t="inlineStr"/>
      <c r="P30" t="inlineStr">
        <is>
          <t>(주)한국종합기술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8" customWidth="1" min="3" max="3"/>
    <col width="10" customWidth="1" min="4" max="4"/>
    <col width="8" customWidth="1" min="5" max="5"/>
    <col width="39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36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</cols>
  <sheetData>
    <row r="1">
      <c r="A1">
        <f>== merged table 0  (33 x 23) ===</f>
        <v/>
      </c>
    </row>
    <row r="2">
      <c r="A2" t="inlineStr">
        <is>
          <t>관리번호 # 0 1 1 2 5 9 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20250922 - C01629469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이지성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64.01.21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광주 서구 시청로 26 15층 분양팀(치평동, 빛고을고객센터)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2019.08.26 ~ 2019.08.30
2018.01.22 ~ 2018.01.26
1997.09.22 ~ 1997.10.02
1995.05.08 ~ 1995.05.27</t>
        </is>
      </c>
      <c r="C18" t="inlineStr"/>
      <c r="D18" t="inlineStr"/>
      <c r="E18" t="inlineStr"/>
      <c r="F18" t="inlineStr">
        <is>
          <t>건설전문교육(4)
건설전문교육C
감리원과정(중고급)
감리원과정(초급)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건설기술호남교육원
건설기술호남교육원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설계·시공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안양평촌아파트신축공사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대한주택공사</t>
        </is>
      </c>
      <c r="B7" t="inlineStr">
        <is>
          <t>공동주택(아파트)</t>
        </is>
      </c>
      <c r="C7" t="inlineStr">
        <is>
          <t>토목시공</t>
        </is>
      </c>
      <c r="D7" t="inlineStr">
        <is>
          <t>사원</t>
        </is>
      </c>
    </row>
    <row r="8">
      <c r="A8" t="inlineStr"/>
      <c r="B8" t="inlineStr"/>
      <c r="C8" t="inlineStr">
        <is>
          <t>*공사감독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안산수암아파트신축공사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대한주택공사</t>
        </is>
      </c>
      <c r="B11" t="inlineStr">
        <is>
          <t>공동주택(아파트)</t>
        </is>
      </c>
      <c r="C11" t="inlineStr">
        <is>
          <t>토목시공</t>
        </is>
      </c>
      <c r="D11" t="inlineStr">
        <is>
          <t>사원</t>
        </is>
      </c>
    </row>
    <row r="12">
      <c r="A12" t="inlineStr"/>
      <c r="B12" t="inlineStr"/>
      <c r="C12" t="inlineStr">
        <is>
          <t>*공사감독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안산성포아파트신축공사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대한주택공사</t>
        </is>
      </c>
      <c r="B15" t="inlineStr">
        <is>
          <t>공동주택(아파트)</t>
        </is>
      </c>
      <c r="C15" t="inlineStr">
        <is>
          <t>토목시공</t>
        </is>
      </c>
      <c r="D15" t="inlineStr">
        <is>
          <t>사원</t>
        </is>
      </c>
    </row>
    <row r="16">
      <c r="A16" t="inlineStr"/>
      <c r="B16" t="inlineStr"/>
      <c r="C16" t="inlineStr">
        <is>
          <t>*공사감독</t>
        </is>
      </c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광주운남택지개발공사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대한주택공사</t>
        </is>
      </c>
      <c r="B19" t="inlineStr">
        <is>
          <t>택지개발</t>
        </is>
      </c>
      <c r="C19" t="inlineStr">
        <is>
          <t>토목시공</t>
        </is>
      </c>
      <c r="D19" t="inlineStr">
        <is>
          <t>사원</t>
        </is>
      </c>
    </row>
    <row r="20">
      <c r="A20" t="inlineStr"/>
      <c r="B20" t="inlineStr"/>
      <c r="C20" t="inlineStr">
        <is>
          <t>*공사감독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광주동림택지개발공사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대한주택공사</t>
        </is>
      </c>
      <c r="B23" t="inlineStr">
        <is>
          <t>택지개발</t>
        </is>
      </c>
      <c r="C23" t="inlineStr">
        <is>
          <t>토목시공</t>
        </is>
      </c>
      <c r="D23" t="inlineStr">
        <is>
          <t>사원</t>
        </is>
      </c>
    </row>
    <row r="24">
      <c r="A24" t="inlineStr"/>
      <c r="B24" t="inlineStr"/>
      <c r="C24" t="inlineStr">
        <is>
          <t>*공사감독</t>
        </is>
      </c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광주용두택지개발공사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대한주택공사</t>
        </is>
      </c>
      <c r="B27" t="inlineStr">
        <is>
          <t>택지개발</t>
        </is>
      </c>
      <c r="C27" t="inlineStr">
        <is>
          <t>토목시공</t>
        </is>
      </c>
      <c r="D27" t="inlineStr">
        <is>
          <t>대리</t>
        </is>
      </c>
    </row>
    <row r="28">
      <c r="A28" t="inlineStr"/>
      <c r="B28" t="inlineStr"/>
      <c r="C28" t="inlineStr">
        <is>
          <t>*공사감독</t>
        </is>
      </c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해남주공APT신축공사중토목구조물(철콘)공사</t>
        </is>
      </c>
      <c r="B6" t="inlineStr"/>
      <c r="C6" t="inlineStr">
        <is>
          <t>토목</t>
        </is>
      </c>
      <c r="D6" t="inlineStr">
        <is>
          <t>시공</t>
        </is>
      </c>
    </row>
    <row r="7">
      <c r="A7" t="inlineStr">
        <is>
          <t>대한주택공사</t>
        </is>
      </c>
      <c r="B7" t="inlineStr">
        <is>
          <t>택지개발</t>
        </is>
      </c>
      <c r="C7" t="inlineStr">
        <is>
          <t>토목시공</t>
        </is>
      </c>
      <c r="D7" t="inlineStr">
        <is>
          <t>과장</t>
        </is>
      </c>
    </row>
    <row r="8">
      <c r="A8" t="inlineStr"/>
      <c r="B8" t="inlineStr"/>
      <c r="C8" t="inlineStr">
        <is>
          <t>*현장대리인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광주광역위생매립장(1단계)이주단지조성공사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광주광역시도시공사</t>
        </is>
      </c>
      <c r="B11" t="inlineStr">
        <is>
          <t>단지조성</t>
        </is>
      </c>
      <c r="C11" t="inlineStr">
        <is>
          <t>토목시공</t>
        </is>
      </c>
      <c r="D11" t="inlineStr">
        <is>
          <t>주임</t>
        </is>
      </c>
    </row>
    <row r="12">
      <c r="A12" t="inlineStr">
        <is>
          <t>면적:37,735㎡(68세대)</t>
        </is>
      </c>
      <c r="B12" t="inlineStr"/>
      <c r="C12" t="inlineStr">
        <is>
          <t>*공사감독</t>
        </is>
      </c>
      <c r="D12" t="inlineStr">
        <is>
          <t>4,193</t>
        </is>
      </c>
    </row>
    <row r="13">
      <c r="A13" t="inlineStr"/>
      <c r="B13" t="inlineStr"/>
      <c r="C13" t="inlineStr"/>
      <c r="D13" t="inlineStr"/>
    </row>
    <row r="14">
      <c r="A14" t="inlineStr">
        <is>
          <t>광주광역위생매립장(1단계)이주단지조성공사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광주광역시도시공사</t>
        </is>
      </c>
      <c r="B15" t="inlineStr">
        <is>
          <t>단지조성</t>
        </is>
      </c>
      <c r="C15" t="inlineStr">
        <is>
          <t>토목시공</t>
        </is>
      </c>
      <c r="D15" t="inlineStr">
        <is>
          <t>주임</t>
        </is>
      </c>
    </row>
    <row r="16">
      <c r="A16" t="inlineStr">
        <is>
          <t>면적:37,735㎡(68세대)</t>
        </is>
      </c>
      <c r="B16" t="inlineStr"/>
      <c r="C16" t="inlineStr">
        <is>
          <t>*공사감독</t>
        </is>
      </c>
      <c r="D16" t="inlineStr">
        <is>
          <t>4,193</t>
        </is>
      </c>
    </row>
    <row r="17">
      <c r="A17" t="inlineStr"/>
      <c r="B17" t="inlineStr"/>
      <c r="C17" t="inlineStr"/>
      <c r="D17" t="inlineStr"/>
    </row>
    <row r="18">
      <c r="A18" t="inlineStr">
        <is>
          <t>광주광역위생매립장(1단계)조성공사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광주광역시도시공사</t>
        </is>
      </c>
      <c r="B19" t="inlineStr">
        <is>
          <t>환경시설</t>
        </is>
      </c>
      <c r="C19" t="inlineStr">
        <is>
          <t>토목시공</t>
        </is>
      </c>
      <c r="D19" t="inlineStr">
        <is>
          <t>주임</t>
        </is>
      </c>
    </row>
    <row r="20">
      <c r="A20" t="inlineStr">
        <is>
          <t>면적:574,502㎡(매립용량9,480,000㎥)</t>
        </is>
      </c>
      <c r="B20" t="inlineStr"/>
      <c r="C20" t="inlineStr">
        <is>
          <t>*공사감독</t>
        </is>
      </c>
      <c r="D20" t="inlineStr">
        <is>
          <t>41,099</t>
        </is>
      </c>
    </row>
    <row r="21">
      <c r="A21" t="inlineStr"/>
      <c r="B21" t="inlineStr"/>
      <c r="C21" t="inlineStr"/>
      <c r="D21" t="inlineStr"/>
    </row>
    <row r="22">
      <c r="A22" t="inlineStr">
        <is>
          <t>빛고을노인건강타운(2단계)조성공사</t>
        </is>
      </c>
      <c r="B22" t="inlineStr"/>
      <c r="C22" t="inlineStr">
        <is>
          <t>토목</t>
        </is>
      </c>
      <c r="D22" t="inlineStr">
        <is>
          <t>사업관리</t>
        </is>
      </c>
    </row>
    <row r="23">
      <c r="A23" t="inlineStr">
        <is>
          <t>광주광역시도시공사</t>
        </is>
      </c>
      <c r="B23" t="inlineStr">
        <is>
          <t>단지조성</t>
        </is>
      </c>
      <c r="C23" t="inlineStr">
        <is>
          <t>토목시공</t>
        </is>
      </c>
      <c r="D23" t="inlineStr">
        <is>
          <t>대리</t>
        </is>
      </c>
    </row>
    <row r="24">
      <c r="A24" t="inlineStr">
        <is>
          <t>면적:272,590㎡,골프장(9홀),골프연습장(75타석),실버주택61,595㎡(240세대)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(2004.12.10∼2004.12.31)</t>
        </is>
      </c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빛고을노인건강타운(2단계)조성공사</t>
        </is>
      </c>
      <c r="B6" t="inlineStr"/>
      <c r="C6" t="inlineStr">
        <is>
          <t>토목</t>
        </is>
      </c>
      <c r="D6" t="inlineStr">
        <is>
          <t>사업관리</t>
        </is>
      </c>
    </row>
    <row r="7">
      <c r="A7" t="inlineStr">
        <is>
          <t>광주광역시도시공사</t>
        </is>
      </c>
      <c r="B7" t="inlineStr">
        <is>
          <t>단지조성</t>
        </is>
      </c>
      <c r="C7" t="inlineStr">
        <is>
          <t>토목시공</t>
        </is>
      </c>
      <c r="D7" t="inlineStr">
        <is>
          <t>대리</t>
        </is>
      </c>
    </row>
    <row r="8">
      <c r="A8" t="inlineStr">
        <is>
          <t>면적:272,590㎡,골프장(9홀),골프연습장(75타석),실버주택61,595㎡(240세대)</t>
        </is>
      </c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빛고을노인건강타운(2단계)조성공사실시설계용역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광주광역시도시공사</t>
        </is>
      </c>
      <c r="B11" t="inlineStr">
        <is>
          <t>단지조성</t>
        </is>
      </c>
      <c r="C11" t="inlineStr">
        <is>
          <t>토목시공</t>
        </is>
      </c>
      <c r="D11" t="inlineStr">
        <is>
          <t>대리</t>
        </is>
      </c>
    </row>
    <row r="12">
      <c r="A12" t="inlineStr">
        <is>
          <t>면적272,590㎡,골프장(9홀),골프연습장(75타석),실버주택61,595㎡(240세대)</t>
        </is>
      </c>
      <c r="B12" t="inlineStr"/>
      <c r="C12" t="inlineStr">
        <is>
          <t>*용역감독</t>
        </is>
      </c>
      <c r="D12" t="inlineStr">
        <is>
          <t>911</t>
        </is>
      </c>
    </row>
    <row r="13">
      <c r="A13" t="inlineStr"/>
      <c r="B13" t="inlineStr"/>
      <c r="C13" t="inlineStr"/>
      <c r="D13" t="inlineStr"/>
    </row>
    <row r="14">
      <c r="A14" t="inlineStr">
        <is>
          <t>빛고을노인건강타운(2단계)조성공사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광주광역시도시공사</t>
        </is>
      </c>
      <c r="B15" t="inlineStr">
        <is>
          <t>단지조성</t>
        </is>
      </c>
      <c r="C15" t="inlineStr">
        <is>
          <t>토목시공</t>
        </is>
      </c>
      <c r="D15" t="inlineStr">
        <is>
          <t>과장</t>
        </is>
      </c>
    </row>
    <row r="16">
      <c r="A16" t="inlineStr">
        <is>
          <t>면적272,590㎡,골프장(9홀),골프연습장(75타석)</t>
        </is>
      </c>
      <c r="B16" t="inlineStr"/>
      <c r="C16" t="inlineStr">
        <is>
          <t>*공사감독</t>
        </is>
      </c>
      <c r="D16" t="inlineStr">
        <is>
          <t>25,431</t>
        </is>
      </c>
    </row>
    <row r="17">
      <c r="A17" t="inlineStr"/>
      <c r="B17" t="inlineStr"/>
      <c r="C17" t="inlineStr"/>
      <c r="D17" t="inlineStr"/>
    </row>
    <row r="18">
      <c r="A18" t="inlineStr">
        <is>
          <t>빛고을노인건강타운(2단계)조성공사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광주광역시도시공사</t>
        </is>
      </c>
      <c r="B19" t="inlineStr">
        <is>
          <t>단지조성</t>
        </is>
      </c>
      <c r="C19" t="inlineStr">
        <is>
          <t>토목시공</t>
        </is>
      </c>
      <c r="D19" t="inlineStr">
        <is>
          <t>과장</t>
        </is>
      </c>
    </row>
    <row r="20">
      <c r="A20" t="inlineStr">
        <is>
          <t>면적272,590㎡,골프장(9홀),골프연습장(75타석)</t>
        </is>
      </c>
      <c r="B20" t="inlineStr"/>
      <c r="C20" t="inlineStr">
        <is>
          <t>*공사감독</t>
        </is>
      </c>
      <c r="D20" t="inlineStr">
        <is>
          <t>25,431</t>
        </is>
      </c>
    </row>
    <row r="21">
      <c r="A21" t="inlineStr"/>
      <c r="B21" t="inlineStr"/>
      <c r="C21" t="inlineStr"/>
      <c r="D21" t="inlineStr"/>
    </row>
    <row r="22">
      <c r="A22" t="inlineStr">
        <is>
          <t>광주.전남공동혁신도시조성공사</t>
        </is>
      </c>
      <c r="B22" t="inlineStr"/>
      <c r="C22" t="inlineStr">
        <is>
          <t>토목</t>
        </is>
      </c>
      <c r="D22" t="inlineStr">
        <is>
          <t>기술감사</t>
        </is>
      </c>
    </row>
    <row r="23">
      <c r="A23" t="inlineStr">
        <is>
          <t>광주광역시도시공사</t>
        </is>
      </c>
      <c r="B23" t="inlineStr">
        <is>
          <t>택지개발</t>
        </is>
      </c>
      <c r="C23" t="inlineStr">
        <is>
          <t>토목시공</t>
        </is>
      </c>
      <c r="D23" t="inlineStr">
        <is>
          <t>과장</t>
        </is>
      </c>
    </row>
    <row r="24">
      <c r="A24" t="inlineStr">
        <is>
          <t>면적1,744,000㎡,20,000세대</t>
        </is>
      </c>
      <c r="B24" t="inlineStr"/>
      <c r="C24" t="inlineStr"/>
      <c r="D24" t="inlineStr">
        <is>
          <t>393,500</t>
        </is>
      </c>
    </row>
    <row r="25">
      <c r="A25" t="inlineStr"/>
      <c r="B25" t="inlineStr"/>
      <c r="C25" t="inlineStr"/>
      <c r="D25" t="inlineStr"/>
    </row>
    <row r="26">
      <c r="A26" t="inlineStr">
        <is>
          <t>영락공원및망월묘역시설물유지관리</t>
        </is>
      </c>
      <c r="B26" t="inlineStr"/>
      <c r="C26" t="inlineStr">
        <is>
          <t>토목</t>
        </is>
      </c>
      <c r="D26" t="inlineStr">
        <is>
          <t>유지보수및보강</t>
        </is>
      </c>
    </row>
    <row r="27">
      <c r="A27" t="inlineStr">
        <is>
          <t>광주광역시도시공사</t>
        </is>
      </c>
      <c r="B27" t="inlineStr"/>
      <c r="C27" t="inlineStr">
        <is>
          <t>토목시공</t>
        </is>
      </c>
      <c r="D27" t="inlineStr">
        <is>
          <t>차장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호두메마을도시형생활주택계획?중간및실시설계용역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광주광역시도시공사</t>
        </is>
      </c>
      <c r="B7" t="inlineStr">
        <is>
          <t>공동주택(APT)</t>
        </is>
      </c>
      <c r="C7" t="inlineStr">
        <is>
          <t>토목시공</t>
        </is>
      </c>
      <c r="D7" t="inlineStr">
        <is>
          <t>차장</t>
        </is>
      </c>
    </row>
    <row r="8">
      <c r="A8" t="inlineStr">
        <is>
          <t>95세대, APT4개동 및 부대시설</t>
        </is>
      </c>
      <c r="B8" t="inlineStr"/>
      <c r="C8" t="inlineStr">
        <is>
          <t>*용역감독</t>
        </is>
      </c>
      <c r="D8" t="inlineStr">
        <is>
          <t>281</t>
        </is>
      </c>
    </row>
    <row r="9">
      <c r="A9" t="inlineStr"/>
      <c r="B9" t="inlineStr"/>
      <c r="C9" t="inlineStr"/>
      <c r="D9" t="inlineStr"/>
    </row>
    <row r="10">
      <c r="A10" t="inlineStr">
        <is>
          <t>도시재생신규사업지(APT)타당성조사설계용역</t>
        </is>
      </c>
      <c r="B10" t="inlineStr"/>
      <c r="C10" t="inlineStr">
        <is>
          <t>토목</t>
        </is>
      </c>
      <c r="D10" t="inlineStr">
        <is>
          <t>감독</t>
        </is>
      </c>
    </row>
    <row r="11">
      <c r="A11" t="inlineStr">
        <is>
          <t>광주광역시도시공사</t>
        </is>
      </c>
      <c r="B11" t="inlineStr">
        <is>
          <t>공동주택(APT)</t>
        </is>
      </c>
      <c r="C11" t="inlineStr">
        <is>
          <t>토목시공</t>
        </is>
      </c>
      <c r="D11" t="inlineStr">
        <is>
          <t>차장</t>
        </is>
      </c>
    </row>
    <row r="12">
      <c r="A12" t="inlineStr"/>
      <c r="B12" t="inlineStr"/>
      <c r="C12" t="inlineStr">
        <is>
          <t>*용역감독</t>
        </is>
      </c>
      <c r="D12" t="inlineStr">
        <is>
          <t>49</t>
        </is>
      </c>
    </row>
    <row r="13">
      <c r="A13" t="inlineStr"/>
      <c r="B13" t="inlineStr"/>
      <c r="C13" t="inlineStr"/>
      <c r="D13" t="inlineStr"/>
    </row>
    <row r="14">
      <c r="A14" t="inlineStr">
        <is>
          <t>호두메마을도시형생활주택(APT)건립공사</t>
        </is>
      </c>
      <c r="B14" t="inlineStr"/>
      <c r="C14" t="inlineStr">
        <is>
          <t>토목</t>
        </is>
      </c>
      <c r="D14" t="inlineStr">
        <is>
          <t>감독</t>
        </is>
      </c>
    </row>
    <row r="15">
      <c r="A15" t="inlineStr">
        <is>
          <t>광주광역시도시공사</t>
        </is>
      </c>
      <c r="B15" t="inlineStr">
        <is>
          <t>공동주택(APT)</t>
        </is>
      </c>
      <c r="C15" t="inlineStr">
        <is>
          <t>토목시공</t>
        </is>
      </c>
      <c r="D15" t="inlineStr">
        <is>
          <t>차장</t>
        </is>
      </c>
    </row>
    <row r="16">
      <c r="A16" t="inlineStr">
        <is>
          <t>95세대, APT 4개동 및 부대시설</t>
        </is>
      </c>
      <c r="B16" t="inlineStr"/>
      <c r="C16" t="inlineStr">
        <is>
          <t>*공사감독</t>
        </is>
      </c>
      <c r="D16" t="inlineStr">
        <is>
          <t>17,500</t>
        </is>
      </c>
    </row>
    <row r="17">
      <c r="A17" t="inlineStr"/>
      <c r="B17" t="inlineStr"/>
      <c r="C17" t="inlineStr"/>
      <c r="D17" t="inlineStr"/>
    </row>
    <row r="18">
      <c r="A18" t="inlineStr">
        <is>
          <t>광주하계U대회선수촌(APT)건립공사</t>
        </is>
      </c>
      <c r="B18" t="inlineStr"/>
      <c r="C18" t="inlineStr">
        <is>
          <t>토목</t>
        </is>
      </c>
      <c r="D18" t="inlineStr">
        <is>
          <t>감독</t>
        </is>
      </c>
    </row>
    <row r="19">
      <c r="A19" t="inlineStr">
        <is>
          <t>광주광역시도시공사</t>
        </is>
      </c>
      <c r="B19" t="inlineStr">
        <is>
          <t>공동주택(APT)</t>
        </is>
      </c>
      <c r="C19" t="inlineStr">
        <is>
          <t>토목시공</t>
        </is>
      </c>
      <c r="D19" t="inlineStr">
        <is>
          <t>차장</t>
        </is>
      </c>
    </row>
    <row r="20">
      <c r="A20" t="inlineStr">
        <is>
          <t>면적 194,149㎡, 3,726세대, APT 35개동 및 부대시설</t>
        </is>
      </c>
      <c r="B20" t="inlineStr"/>
      <c r="C20" t="inlineStr">
        <is>
          <t>*공사감독</t>
        </is>
      </c>
      <c r="D20" t="inlineStr">
        <is>
          <t>640,600</t>
        </is>
      </c>
    </row>
    <row r="21">
      <c r="A21" t="inlineStr"/>
      <c r="B21" t="inlineStr"/>
      <c r="C21" t="inlineStr"/>
      <c r="D21" t="inlineStr"/>
    </row>
    <row r="22">
      <c r="A22" t="inlineStr">
        <is>
          <t>농성동보금자리주택(APT)건립공사</t>
        </is>
      </c>
      <c r="B22" t="inlineStr"/>
      <c r="C22" t="inlineStr">
        <is>
          <t>토목</t>
        </is>
      </c>
      <c r="D22" t="inlineStr">
        <is>
          <t>감독</t>
        </is>
      </c>
    </row>
    <row r="23">
      <c r="A23" t="inlineStr">
        <is>
          <t>광주광역시도시공사</t>
        </is>
      </c>
      <c r="B23" t="inlineStr">
        <is>
          <t>공동주택(APT)</t>
        </is>
      </c>
      <c r="C23" t="inlineStr">
        <is>
          <t>토목시공</t>
        </is>
      </c>
      <c r="D23" t="inlineStr">
        <is>
          <t>차장</t>
        </is>
      </c>
    </row>
    <row r="24">
      <c r="A24" t="inlineStr">
        <is>
          <t>498세대, APT 4개동 및 부대시설</t>
        </is>
      </c>
      <c r="B24" t="inlineStr"/>
      <c r="C24" t="inlineStr">
        <is>
          <t>*공사감독</t>
        </is>
      </c>
      <c r="D24" t="inlineStr">
        <is>
          <t>18,767</t>
        </is>
      </c>
    </row>
    <row r="25">
      <c r="A25" t="inlineStr"/>
      <c r="B25" t="inlineStr"/>
      <c r="C25" t="inlineStr"/>
      <c r="D25" t="inlineStr"/>
    </row>
    <row r="26">
      <c r="A26" t="inlineStr">
        <is>
          <t>광주전남공동혁신도시개발공사</t>
        </is>
      </c>
      <c r="B26" t="inlineStr"/>
      <c r="C26" t="inlineStr">
        <is>
          <t>토목</t>
        </is>
      </c>
      <c r="D26" t="inlineStr">
        <is>
          <t>감독</t>
        </is>
      </c>
    </row>
    <row r="27">
      <c r="A27" t="inlineStr">
        <is>
          <t>광주광역시도시공사</t>
        </is>
      </c>
      <c r="B27" t="inlineStr">
        <is>
          <t>택지개발</t>
        </is>
      </c>
      <c r="C27" t="inlineStr">
        <is>
          <t>토목시공</t>
        </is>
      </c>
      <c r="D27" t="inlineStr">
        <is>
          <t>차장</t>
        </is>
      </c>
    </row>
    <row r="28">
      <c r="A28" t="inlineStr">
        <is>
          <t>면적 1,744,000㎡, 20,000세대</t>
        </is>
      </c>
      <c r="B28" t="inlineStr"/>
      <c r="C28" t="inlineStr">
        <is>
          <t>*공사감독</t>
        </is>
      </c>
      <c r="D28" t="inlineStr">
        <is>
          <t>393,500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평동3차일반산업단지조성공사</t>
        </is>
      </c>
      <c r="B6" t="inlineStr"/>
      <c r="C6" t="inlineStr">
        <is>
          <t>토목</t>
        </is>
      </c>
      <c r="D6" t="inlineStr">
        <is>
          <t>감독</t>
        </is>
      </c>
    </row>
    <row r="7">
      <c r="A7" t="inlineStr">
        <is>
          <t>광주광역시도시공사</t>
        </is>
      </c>
      <c r="B7" t="inlineStr">
        <is>
          <t>택지개발</t>
        </is>
      </c>
      <c r="C7" t="inlineStr">
        <is>
          <t>토목시공</t>
        </is>
      </c>
      <c r="D7" t="inlineStr">
        <is>
          <t>차장</t>
        </is>
      </c>
    </row>
    <row r="8">
      <c r="A8" t="inlineStr">
        <is>
          <t>면적 1,176,000㎡</t>
        </is>
      </c>
      <c r="B8" t="inlineStr"/>
      <c r="C8" t="inlineStr">
        <is>
          <t>*공사감독</t>
        </is>
      </c>
      <c r="D8" t="inlineStr">
        <is>
          <t>76,236</t>
        </is>
      </c>
    </row>
    <row r="9">
      <c r="A9" t="inlineStr"/>
      <c r="B9" t="inlineStr"/>
      <c r="C9" t="inlineStr"/>
      <c r="D9" t="inlineStr"/>
    </row>
    <row r="10">
      <c r="A10" t="inlineStr">
        <is>
          <t>남구도시첨단산업단지(국가)조성공사</t>
        </is>
      </c>
      <c r="B10" t="inlineStr"/>
      <c r="C10" t="inlineStr">
        <is>
          <t>토목</t>
        </is>
      </c>
      <c r="D10" t="inlineStr">
        <is>
          <t>사업관리</t>
        </is>
      </c>
    </row>
    <row r="11">
      <c r="A11" t="inlineStr">
        <is>
          <t>광주광역시도시공사</t>
        </is>
      </c>
      <c r="B11" t="inlineStr">
        <is>
          <t>택지개발</t>
        </is>
      </c>
      <c r="C11" t="inlineStr">
        <is>
          <t>토목시공</t>
        </is>
      </c>
      <c r="D11" t="inlineStr">
        <is>
          <t>팀장</t>
        </is>
      </c>
    </row>
    <row r="12">
      <c r="A12" t="inlineStr">
        <is>
          <t>면적 485,887㎡</t>
        </is>
      </c>
      <c r="B12" t="inlineStr"/>
      <c r="C12" t="inlineStr"/>
      <c r="D12" t="inlineStr">
        <is>
          <t>11,045</t>
        </is>
      </c>
    </row>
    <row r="13">
      <c r="A13" t="inlineStr"/>
      <c r="B13" t="inlineStr"/>
      <c r="C13" t="inlineStr"/>
      <c r="D13" t="inlineStr"/>
    </row>
    <row r="14">
      <c r="A14" t="inlineStr">
        <is>
          <t>광주에너지밸리일반산업단지(지방)조성공사</t>
        </is>
      </c>
      <c r="B14" t="inlineStr"/>
      <c r="C14" t="inlineStr">
        <is>
          <t>토목</t>
        </is>
      </c>
      <c r="D14" t="inlineStr">
        <is>
          <t>사업관리</t>
        </is>
      </c>
    </row>
    <row r="15">
      <c r="A15" t="inlineStr">
        <is>
          <t>광주광역시도시공사</t>
        </is>
      </c>
      <c r="B15" t="inlineStr">
        <is>
          <t>택지개발</t>
        </is>
      </c>
      <c r="C15" t="inlineStr">
        <is>
          <t>토목시공</t>
        </is>
      </c>
      <c r="D15" t="inlineStr">
        <is>
          <t>팀장</t>
        </is>
      </c>
    </row>
    <row r="16">
      <c r="A16" t="inlineStr">
        <is>
          <t>면적 932,,000㎡</t>
        </is>
      </c>
      <c r="B16" t="inlineStr"/>
      <c r="C16" t="inlineStr"/>
      <c r="D16" t="inlineStr">
        <is>
          <t>30,202</t>
        </is>
      </c>
    </row>
    <row r="17">
      <c r="A17" t="inlineStr"/>
      <c r="B17" t="inlineStr"/>
      <c r="C17" t="inlineStr"/>
      <c r="D17" t="inlineStr"/>
    </row>
    <row r="18">
      <c r="A18" t="inlineStr">
        <is>
          <t>영락공원및망월묘역시설물유지관리</t>
        </is>
      </c>
      <c r="B18" t="inlineStr"/>
      <c r="C18" t="inlineStr">
        <is>
          <t>토목</t>
        </is>
      </c>
      <c r="D18" t="inlineStr">
        <is>
          <t>유지보수및보강</t>
        </is>
      </c>
    </row>
    <row r="19">
      <c r="A19" t="inlineStr">
        <is>
          <t>광주광역시도시공사</t>
        </is>
      </c>
      <c r="B19" t="inlineStr"/>
      <c r="C19" t="inlineStr">
        <is>
          <t>토목시공</t>
        </is>
      </c>
      <c r="D19" t="inlineStr">
        <is>
          <t>팀장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영락공원관리동흡수식냉온수기세관공사</t>
        </is>
      </c>
      <c r="B22" t="inlineStr"/>
      <c r="C22" t="inlineStr">
        <is>
          <t>토목</t>
        </is>
      </c>
      <c r="D22" t="inlineStr">
        <is>
          <t>사업관리</t>
        </is>
      </c>
    </row>
    <row r="23">
      <c r="A23" t="inlineStr">
        <is>
          <t>광주광역시도시공사</t>
        </is>
      </c>
      <c r="B23" t="inlineStr">
        <is>
          <t>단지조성</t>
        </is>
      </c>
      <c r="C23" t="inlineStr">
        <is>
          <t>토목시공</t>
        </is>
      </c>
      <c r="D23" t="inlineStr">
        <is>
          <t>팀장</t>
        </is>
      </c>
    </row>
    <row r="24">
      <c r="A24" t="inlineStr">
        <is>
          <t>냉온수기 배관내 청소</t>
        </is>
      </c>
      <c r="B24" t="inlineStr"/>
      <c r="C24" t="inlineStr"/>
      <c r="D24" t="inlineStr">
        <is>
          <t>4</t>
        </is>
      </c>
    </row>
    <row r="25">
      <c r="A25" t="inlineStr"/>
      <c r="B25" t="inlineStr"/>
      <c r="C25" t="inlineStr"/>
      <c r="D25" t="inlineStr"/>
    </row>
    <row r="26">
      <c r="A26" t="inlineStr">
        <is>
          <t>영락공원및망월묘지보수공사</t>
        </is>
      </c>
      <c r="B26" t="inlineStr"/>
      <c r="C26" t="inlineStr">
        <is>
          <t>토목</t>
        </is>
      </c>
      <c r="D26" t="inlineStr">
        <is>
          <t>사업관리</t>
        </is>
      </c>
    </row>
    <row r="27">
      <c r="A27" t="inlineStr">
        <is>
          <t>광주광역시도시공사</t>
        </is>
      </c>
      <c r="B27" t="inlineStr">
        <is>
          <t>단지조성</t>
        </is>
      </c>
      <c r="C27" t="inlineStr">
        <is>
          <t>토목시공</t>
        </is>
      </c>
      <c r="D27" t="inlineStr">
        <is>
          <t>팀장</t>
        </is>
      </c>
    </row>
    <row r="28">
      <c r="A28" t="inlineStr">
        <is>
          <t>영락공원 제2추모관 측면 옹벽보수 및 망월묘지 법면보수</t>
        </is>
      </c>
      <c r="B28" t="inlineStr"/>
      <c r="C28" t="inlineStr"/>
      <c r="D28" t="inlineStr">
        <is>
          <t>224</t>
        </is>
      </c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(16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광주생태문화마을조성공사</t>
        </is>
      </c>
      <c r="B6" t="inlineStr"/>
      <c r="C6" t="inlineStr">
        <is>
          <t>토목</t>
        </is>
      </c>
      <c r="D6" t="inlineStr">
        <is>
          <t>사업관리</t>
        </is>
      </c>
    </row>
    <row r="7">
      <c r="A7" t="inlineStr">
        <is>
          <t>광주광역시도시공사</t>
        </is>
      </c>
      <c r="B7" t="inlineStr">
        <is>
          <t>단지조성</t>
        </is>
      </c>
      <c r="C7" t="inlineStr">
        <is>
          <t>토목시공</t>
        </is>
      </c>
      <c r="D7" t="inlineStr">
        <is>
          <t>팀장</t>
        </is>
      </c>
    </row>
    <row r="8">
      <c r="A8" t="inlineStr">
        <is>
          <t>면적 143,631㎡</t>
        </is>
      </c>
      <c r="B8" t="inlineStr"/>
      <c r="C8" t="inlineStr"/>
      <c r="D8" t="inlineStr">
        <is>
          <t>12,888</t>
        </is>
      </c>
    </row>
    <row r="9">
      <c r="A9" t="inlineStr"/>
      <c r="B9" t="inlineStr"/>
      <c r="C9" t="inlineStr"/>
      <c r="D9" t="inlineStr"/>
    </row>
    <row r="10">
      <c r="A10" t="inlineStr">
        <is>
          <t>영락공원시설개선종합계획수립용역</t>
        </is>
      </c>
      <c r="B10" t="inlineStr"/>
      <c r="C10" t="inlineStr">
        <is>
          <t>토목</t>
        </is>
      </c>
      <c r="D10" t="inlineStr">
        <is>
          <t>사업관리</t>
        </is>
      </c>
    </row>
    <row r="11">
      <c r="A11" t="inlineStr">
        <is>
          <t>광주광역시도시공사</t>
        </is>
      </c>
      <c r="B11" t="inlineStr">
        <is>
          <t>단지조성</t>
        </is>
      </c>
      <c r="C11" t="inlineStr">
        <is>
          <t>토목시공</t>
        </is>
      </c>
      <c r="D11" t="inlineStr">
        <is>
          <t>팀장</t>
        </is>
      </c>
    </row>
    <row r="12">
      <c r="A12" t="inlineStr">
        <is>
          <t>영락공원 시설개선 종합계획수립</t>
        </is>
      </c>
      <c r="B12" t="inlineStr"/>
      <c r="C12" t="inlineStr"/>
      <c r="D12" t="inlineStr">
        <is>
          <t>35</t>
        </is>
      </c>
    </row>
    <row r="13">
      <c r="A13" t="inlineStr"/>
      <c r="B13" t="inlineStr"/>
      <c r="C13" t="inlineStr"/>
      <c r="D13" t="inlineStr"/>
    </row>
    <row r="14">
      <c r="A14" t="inlineStr">
        <is>
          <t>공공시설물및공사현장안전점검</t>
        </is>
      </c>
      <c r="B14" t="inlineStr"/>
      <c r="C14" t="inlineStr">
        <is>
          <t>토목</t>
        </is>
      </c>
      <c r="D14" t="inlineStr">
        <is>
          <t>안전점검</t>
        </is>
      </c>
    </row>
    <row r="15">
      <c r="A15" t="inlineStr">
        <is>
          <t>광주광역시도시공사</t>
        </is>
      </c>
      <c r="B15" t="inlineStr">
        <is>
          <t>단지조성</t>
        </is>
      </c>
      <c r="C15" t="inlineStr">
        <is>
          <t>토목시공</t>
        </is>
      </c>
      <c r="D15" t="inlineStr">
        <is>
          <t>팀장</t>
        </is>
      </c>
    </row>
    <row r="16">
      <c r="A16" t="inlineStr">
        <is>
          <t>APT 10개단지, 공공시설 7개소, 체육시설 5개소, 공사현장 4개소</t>
        </is>
      </c>
      <c r="B16" t="inlineStr"/>
      <c r="C16" t="inlineStr"/>
      <c r="D16" t="inlineStr"/>
    </row>
    <row r="17">
      <c r="A17" t="inlineStr"/>
      <c r="B17" t="inlineStr"/>
      <c r="C17" t="inlineStr"/>
      <c r="D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8" customWidth="1" min="4" max="4"/>
    <col width="8" customWidth="1" min="5" max="5"/>
    <col width="8" customWidth="1" min="6" max="6"/>
    <col width="13" customWidth="1" min="7" max="7"/>
    <col width="16" customWidth="1" min="8" max="8"/>
    <col width="8" customWidth="1" min="9" max="9"/>
    <col width="8" customWidth="1" min="10" max="10"/>
  </cols>
  <sheetData>
    <row r="1">
      <c r="A1">
        <f>== merged table 0  (18 x 10) ===</f>
        <v/>
      </c>
    </row>
    <row r="2">
      <c r="A2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참여기간
(인정일)
(참여일)</t>
        </is>
      </c>
      <c r="B3" t="inlineStr">
        <is>
          <t>사업명</t>
        </is>
      </c>
      <c r="C3" t="inlineStr"/>
      <c r="D3" t="inlineStr"/>
      <c r="E3" t="inlineStr"/>
      <c r="F3" t="inlineStr"/>
      <c r="G3" t="inlineStr">
        <is>
          <t>직무분야</t>
        </is>
      </c>
      <c r="H3" t="inlineStr">
        <is>
          <t>담당업무</t>
        </is>
      </c>
      <c r="I3" t="inlineStr"/>
      <c r="J3" t="inlineStr">
        <is>
          <t>비고</t>
        </is>
      </c>
    </row>
    <row r="4">
      <c r="A4" t="inlineStr"/>
      <c r="B4" t="inlineStr">
        <is>
          <t>발주자</t>
        </is>
      </c>
      <c r="C4" t="inlineStr">
        <is>
          <t>공사종류</t>
        </is>
      </c>
      <c r="D4" t="inlineStr"/>
      <c r="E4" t="inlineStr"/>
      <c r="F4" t="inlineStr"/>
      <c r="G4" t="inlineStr">
        <is>
          <t>전문분야</t>
        </is>
      </c>
      <c r="H4" t="inlineStr">
        <is>
          <t>직위</t>
        </is>
      </c>
      <c r="I4" t="inlineStr"/>
      <c r="J4" t="inlineStr"/>
    </row>
    <row r="5">
      <c r="A5" t="inlineStr"/>
      <c r="B5" t="inlineStr">
        <is>
          <t>공사(용역)개요</t>
        </is>
      </c>
      <c r="C5" t="inlineStr"/>
      <c r="D5" t="inlineStr"/>
      <c r="E5" t="inlineStr"/>
      <c r="F5" t="inlineStr"/>
      <c r="G5" t="inlineStr">
        <is>
          <t>책임정도</t>
        </is>
      </c>
      <c r="H5" t="inlineStr">
        <is>
          <t>공사(용역)금액(백만원)</t>
        </is>
      </c>
      <c r="I5" t="inlineStr"/>
      <c r="J5" t="inlineStr"/>
    </row>
    <row r="6">
      <c r="A6" t="inlineStr"/>
      <c r="B6" t="inlineStr">
        <is>
          <t>적용 공법</t>
        </is>
      </c>
      <c r="C6" t="inlineStr">
        <is>
          <t>적용 융ㆍ복합건설기술</t>
        </is>
      </c>
      <c r="D6" t="inlineStr"/>
      <c r="E6" t="inlineStr"/>
      <c r="F6" t="inlineStr"/>
      <c r="G6" t="inlineStr">
        <is>
          <t>적용 신기술 등</t>
        </is>
      </c>
      <c r="H6" t="inlineStr">
        <is>
          <t>시설물 종류</t>
        </is>
      </c>
      <c r="I6" t="inlineStr"/>
      <c r="J6" t="inlineStr"/>
    </row>
    <row r="7">
      <c r="A7" t="inlineStr">
        <is>
          <t>2023.12.01
~
2024.01.31
(62일)
(62일)</t>
        </is>
      </c>
      <c r="B7" t="inlineStr">
        <is>
          <t>의료기술시험연수원 구축사업 건설사업관리용역(감독권한대행)</t>
        </is>
      </c>
      <c r="C7" t="inlineStr"/>
      <c r="D7" t="inlineStr"/>
      <c r="E7" t="inlineStr"/>
      <c r="F7" t="inlineStr"/>
      <c r="G7" t="inlineStr">
        <is>
          <t>토목</t>
        </is>
      </c>
      <c r="H7" t="inlineStr">
        <is>
          <t>건설사업관리(감독권한
대행)</t>
        </is>
      </c>
      <c r="I7" t="inlineStr"/>
      <c r="J7" t="inlineStr"/>
    </row>
    <row r="8">
      <c r="A8" t="inlineStr"/>
      <c r="B8" t="inlineStr">
        <is>
          <t>대구경북첨단의료산업진흥재단</t>
        </is>
      </c>
      <c r="C8" t="inlineStr">
        <is>
          <t>교육연구시설</t>
        </is>
      </c>
      <c r="D8" t="inlineStr"/>
      <c r="E8" t="inlineStr"/>
      <c r="F8" t="inlineStr"/>
      <c r="G8" t="inlineStr">
        <is>
          <t>토목시공</t>
        </is>
      </c>
      <c r="H8" t="inlineStr">
        <is>
          <t>상무</t>
        </is>
      </c>
      <c r="I8" t="inlineStr"/>
      <c r="J8" t="inlineStr"/>
    </row>
    <row r="9">
      <c r="A9" t="inlineStr"/>
      <c r="B9" t="inlineStr">
        <is>
          <t>대지면적 19,868㎡ 연면적 19,723㎡ 지하2층 지상7층</t>
        </is>
      </c>
      <c r="C9" t="inlineStr"/>
      <c r="D9" t="inlineStr"/>
      <c r="E9" t="inlineStr"/>
      <c r="F9" t="inlineStr"/>
      <c r="G9" t="inlineStr">
        <is>
          <t>상주기술인</t>
        </is>
      </c>
      <c r="H9" t="inlineStr">
        <is>
          <t>40,204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2024.08.30
~
2025.05.07
(251일)
(251일)</t>
        </is>
      </c>
      <c r="B11" t="inlineStr">
        <is>
          <t>천안직산 도시첨단 산업단지 조성공사 시공단계 감독권한대행 등 건설
사업관리용역</t>
        </is>
      </c>
      <c r="C11" t="inlineStr"/>
      <c r="D11" t="inlineStr"/>
      <c r="E11" t="inlineStr"/>
      <c r="F11" t="inlineStr"/>
      <c r="G11" t="inlineStr">
        <is>
          <t>토목</t>
        </is>
      </c>
      <c r="H11" t="inlineStr">
        <is>
          <t>건설사업관리(감독권한
대행)</t>
        </is>
      </c>
      <c r="I11" t="inlineStr"/>
      <c r="J11" t="inlineStr"/>
    </row>
    <row r="12">
      <c r="A12" t="inlineStr"/>
      <c r="B12" t="inlineStr">
        <is>
          <t>한국토지주택공사</t>
        </is>
      </c>
      <c r="C12" t="inlineStr">
        <is>
          <t>단지조성</t>
        </is>
      </c>
      <c r="D12" t="inlineStr"/>
      <c r="E12" t="inlineStr"/>
      <c r="F12" t="inlineStr"/>
      <c r="G12" t="inlineStr">
        <is>
          <t>토목시공</t>
        </is>
      </c>
      <c r="H12" t="inlineStr"/>
      <c r="I12" t="inlineStr"/>
      <c r="J12" t="inlineStr"/>
    </row>
    <row r="13">
      <c r="A13" t="inlineStr"/>
      <c r="B13" t="inlineStr">
        <is>
          <t>단지조성 : 면적=333032㎡ 산단절차간소화법, 단지조성 : 면적=333032㎡ 산단절
차간소화법</t>
        </is>
      </c>
      <c r="C13" t="inlineStr"/>
      <c r="D13" t="inlineStr"/>
      <c r="E13" t="inlineStr"/>
      <c r="F13" t="inlineStr"/>
      <c r="G13" t="inlineStr">
        <is>
          <t>책임건설사업관
리기술인</t>
        </is>
      </c>
      <c r="H13" t="inlineStr">
        <is>
          <t>16,520</t>
        </is>
      </c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「건설기술 진흥법 시행규칙」 제18조 제6항에 따라 건설기술인의 경력을 확인합니다.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○ 건설사업관리 업무 수행기간 : 313 일
- 상 주 : 313 일[감독 권한대행 등 건설사업관리 : 313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1 건 상 주 1 건
○ 건설사업관리 및 감리(최근 1년간) 용역 완성비율 : 100 % (참여건수: , 완료건수 :
기술지원 0 건 기술지원 0 건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3. 배치금지( 「건설기술 진흥법 시행규칙」 제27조제2항제4호에 따라 철수한 경우만 기재)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용역명</t>
        </is>
      </c>
      <c r="B18" t="inlineStr"/>
      <c r="C18" t="inlineStr"/>
      <c r="D18" t="inlineStr">
        <is>
          <t>근무형태</t>
        </is>
      </c>
      <c r="E18" t="inlineStr">
        <is>
          <t>직책</t>
        </is>
      </c>
      <c r="F18" t="inlineStr">
        <is>
          <t>근무기간</t>
        </is>
      </c>
      <c r="G18" t="inlineStr"/>
      <c r="H18" t="inlineStr"/>
      <c r="I18" t="inlineStr">
        <is>
          <t>배치금지 기간</t>
        </is>
      </c>
      <c r="J18" t="inlineStr"/>
    </row>
    <row r="19">
      <c r="A19" t="inlineStr">
        <is>
          <t>** 해당없음 **</t>
        </is>
      </c>
      <c r="B19" t="inlineStr"/>
      <c r="C19" t="inlineStr"/>
      <c r="D19" t="inlineStr"/>
      <c r="E19" t="inlineStr"/>
      <c r="F19" t="inlineStr">
        <is>
          <t>~</t>
        </is>
      </c>
      <c r="G19" t="inlineStr"/>
      <c r="H19" t="inlineStr"/>
      <c r="I19" t="inlineStr">
        <is>
          <t>~</t>
        </is>
      </c>
      <c r="J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>
        <f>== merged table 0  (2 x 5) ===</f>
        <v/>
      </c>
    </row>
    <row r="2">
      <c r="A2" t="inlineStr">
        <is>
          <t>종목 및 등급</t>
        </is>
      </c>
      <c r="B2" t="inlineStr">
        <is>
          <t>합격일</t>
        </is>
      </c>
      <c r="C2" t="inlineStr">
        <is>
          <t>등록번호</t>
        </is>
      </c>
      <c r="D2" t="inlineStr">
        <is>
          <t>종목 및 등급</t>
        </is>
      </c>
      <c r="E2" t="inlineStr">
        <is>
          <t>합격일</t>
        </is>
      </c>
    </row>
    <row r="3">
      <c r="A3" t="inlineStr">
        <is>
          <t>** 해당없음 **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2026-04-21T06:04:20Z</dcterms:created>
  <dcterms:modified xsi:type="dcterms:W3CDTF">2026-04-21T06:04:24Z</dcterms:modified>
</cp:coreProperties>
</file>