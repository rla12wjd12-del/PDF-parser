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001" sheetId="2" state="visible" r:id="rId2"/>
    <sheet name="p002" sheetId="3" state="visible" r:id="rId3"/>
    <sheet name="p003" sheetId="4" state="visible" r:id="rId4"/>
    <sheet name="p004" sheetId="5" state="visible" r:id="rId5"/>
    <sheet name="p005" sheetId="6" state="visible" r:id="rId6"/>
    <sheet name="p006" sheetId="7" state="visible" r:id="rId7"/>
    <sheet name="p007" sheetId="8" state="visible" r:id="rId8"/>
    <sheet name="p008" sheetId="9" state="visible" r:id="rId9"/>
    <sheet name="p009" sheetId="10" state="visible" r:id="rId10"/>
    <sheet name="p010" sheetId="11" state="visible" r:id="rId11"/>
    <sheet name="p011" sheetId="12" state="visible" r:id="rId12"/>
    <sheet name="p012" sheetId="13" state="visible" r:id="rId13"/>
    <sheet name="p0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9" customWidth="1" min="3" max="3"/>
    <col width="55" customWidth="1" min="4" max="4"/>
  </cols>
  <sheetData>
    <row r="1">
      <c r="A1" t="inlineStr">
        <is>
          <t>page_idx</t>
        </is>
      </c>
      <c r="B1" t="inlineStr">
        <is>
          <t>page_no</t>
        </is>
      </c>
      <c r="C1" t="inlineStr">
        <is>
          <t>merged_table_count</t>
        </is>
      </c>
      <c r="D1" t="inlineStr">
        <is>
          <t>note</t>
        </is>
      </c>
    </row>
    <row r="2">
      <c r="A2" t="n">
        <v>0</v>
      </c>
      <c r="B2" t="n">
        <v>1</v>
      </c>
      <c r="C2" t="n">
        <v>7</v>
      </c>
      <c r="D2" t="inlineStr">
        <is>
          <t>best_only=1 (merged candidates scored; title/note tables penalized)</t>
        </is>
      </c>
    </row>
    <row r="3">
      <c r="A3" t="n">
        <v>1</v>
      </c>
      <c r="B3" t="n">
        <v>2</v>
      </c>
      <c r="C3" t="n">
        <v>7</v>
      </c>
      <c r="D3" t="inlineStr">
        <is>
          <t>best_only=1 (merged candidates scored; title/note tables penalized)</t>
        </is>
      </c>
    </row>
    <row r="4">
      <c r="A4" t="n">
        <v>2</v>
      </c>
      <c r="B4" t="n">
        <v>3</v>
      </c>
      <c r="C4" t="n">
        <v>7</v>
      </c>
      <c r="D4" t="inlineStr">
        <is>
          <t>best_only=1 (merged candidates scored; title/note tables penalized)</t>
        </is>
      </c>
    </row>
    <row r="5">
      <c r="A5" t="n">
        <v>3</v>
      </c>
      <c r="B5" t="n">
        <v>4</v>
      </c>
      <c r="C5" t="n">
        <v>7</v>
      </c>
      <c r="D5" t="inlineStr">
        <is>
          <t>best_only=1 (merged candidates scored; title/note tables penalized)</t>
        </is>
      </c>
    </row>
    <row r="6">
      <c r="A6" t="n">
        <v>4</v>
      </c>
      <c r="B6" t="n">
        <v>5</v>
      </c>
      <c r="C6" t="n">
        <v>3</v>
      </c>
      <c r="D6" t="inlineStr">
        <is>
          <t>best_only=1 (merged candidates scored; title/note tables penalized)</t>
        </is>
      </c>
    </row>
    <row r="7">
      <c r="A7" t="n">
        <v>5</v>
      </c>
      <c r="B7" t="n">
        <v>6</v>
      </c>
      <c r="C7" t="n">
        <v>3</v>
      </c>
      <c r="D7" t="inlineStr">
        <is>
          <t>best_only=1 (merged candidates scored; title/note tables penalized)</t>
        </is>
      </c>
    </row>
    <row r="8">
      <c r="A8" t="n">
        <v>6</v>
      </c>
      <c r="B8" t="n">
        <v>7</v>
      </c>
      <c r="C8" t="n">
        <v>3</v>
      </c>
      <c r="D8" t="inlineStr">
        <is>
          <t>best_only=1 (merged candidates scored; title/note tables penalized)</t>
        </is>
      </c>
    </row>
    <row r="9">
      <c r="A9" t="n">
        <v>7</v>
      </c>
      <c r="B9" t="n">
        <v>8</v>
      </c>
      <c r="C9" t="n">
        <v>3</v>
      </c>
      <c r="D9" t="inlineStr">
        <is>
          <t>best_only=1 (merged candidates scored; title/note tables penalized)</t>
        </is>
      </c>
    </row>
    <row r="10">
      <c r="A10" t="n">
        <v>8</v>
      </c>
      <c r="B10" t="n">
        <v>9</v>
      </c>
      <c r="C10" t="n">
        <v>3</v>
      </c>
      <c r="D10" t="inlineStr">
        <is>
          <t>best_only=1 (merged candidates scored; title/note tables penalized)</t>
        </is>
      </c>
    </row>
    <row r="11">
      <c r="A11" t="n">
        <v>9</v>
      </c>
      <c r="B11" t="n">
        <v>10</v>
      </c>
      <c r="C11" t="n">
        <v>3</v>
      </c>
      <c r="D11" t="inlineStr">
        <is>
          <t>best_only=1 (merged candidates scored; title/note tables penalized)</t>
        </is>
      </c>
    </row>
    <row r="12">
      <c r="A12" t="n">
        <v>10</v>
      </c>
      <c r="B12" t="n">
        <v>11</v>
      </c>
      <c r="C12" t="n">
        <v>3</v>
      </c>
      <c r="D12" t="inlineStr">
        <is>
          <t>best_only=1 (merged candidates scored; title/note tables penalized)</t>
        </is>
      </c>
    </row>
    <row r="13">
      <c r="A13" t="n">
        <v>11</v>
      </c>
      <c r="B13" t="n">
        <v>12</v>
      </c>
      <c r="C13" t="n">
        <v>4</v>
      </c>
      <c r="D13" t="inlineStr">
        <is>
          <t>best_only=1 (merged candidates scored; title/note tables penalized)</t>
        </is>
      </c>
    </row>
    <row r="14">
      <c r="A14" t="n">
        <v>12</v>
      </c>
      <c r="B14" t="n">
        <v>13</v>
      </c>
      <c r="C14" t="n">
        <v>6</v>
      </c>
      <c r="D14" t="inlineStr">
        <is>
          <t>best_only=1 (merged candidates scored; title/note tables penalized)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cols>
    <col width="34" customWidth="1" min="1" max="1"/>
    <col width="55" customWidth="1" min="2" max="2"/>
    <col width="21" customWidth="1" min="3" max="3"/>
    <col width="21" customWidth="1" min="4" max="4"/>
    <col width="20" customWidth="1" min="5" max="5"/>
    <col width="55" customWidth="1" min="6" max="6"/>
    <col width="22" customWidth="1" min="7" max="7"/>
    <col width="26" customWidth="1" min="8" max="8"/>
    <col width="8" customWidth="1" min="9" max="9"/>
    <col width="8" customWidth="1" min="10" max="10"/>
    <col width="26" customWidth="1" min="11" max="11"/>
    <col width="12" customWidth="1" min="12" max="12"/>
    <col width="24" customWidth="1" min="13" max="13"/>
    <col width="8" customWidth="1" min="14" max="14"/>
    <col width="25" customWidth="1" min="15" max="15"/>
    <col width="24" customWidth="1" min="16" max="16"/>
    <col width="14" customWidth="1" min="17" max="17"/>
    <col width="10" customWidth="1" min="18" max="18"/>
    <col width="8" customWidth="1" min="19" max="19"/>
    <col width="14" customWidth="1" min="20" max="20"/>
    <col width="8" customWidth="1" min="21" max="21"/>
    <col width="8" customWidth="1" min="22" max="22"/>
    <col width="21" customWidth="1" min="23" max="23"/>
  </cols>
  <sheetData>
    <row r="1">
      <c r="A1">
        <f>== merged table 0  (33 x 23) ===</f>
        <v/>
      </c>
    </row>
    <row r="2">
      <c r="A2" t="inlineStr">
        <is>
          <t>관리번호 # 0 1 8 1 7 1 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발급번호 20250724 - C01420118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인적사항</t>
        </is>
      </c>
      <c r="B4" t="inlineStr">
        <is>
          <t>성명(한글) 황규철</t>
        </is>
      </c>
      <c r="C4" t="inlineStr"/>
      <c r="D4" t="inlineStr"/>
      <c r="E4" t="inlineStr"/>
      <c r="F4" t="inlineStr"/>
      <c r="G4" t="inlineStr"/>
      <c r="H4" t="inlineStr"/>
      <c r="I4" t="inlineStr">
        <is>
          <t>(한자)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생년월일 73.11.27</t>
        </is>
      </c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>
        <is>
          <t>주소 경북 포항시 남구 지곡로 294, 219동 1102호 (지곡동, 효자그린아파트)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등급</t>
        </is>
      </c>
      <c r="B7" t="inlineStr">
        <is>
          <t>설계·시공 등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건설사업관리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품질관리</t>
        </is>
      </c>
      <c r="W7" t="inlineStr"/>
    </row>
    <row r="8">
      <c r="A8" t="inlineStr"/>
      <c r="B8" t="inlineStr">
        <is>
          <t>직무분야</t>
        </is>
      </c>
      <c r="C8" t="inlineStr"/>
      <c r="D8" t="inlineStr"/>
      <c r="E8" t="inlineStr"/>
      <c r="F8" t="inlineStr">
        <is>
          <t>전문분야</t>
        </is>
      </c>
      <c r="G8" t="inlineStr"/>
      <c r="H8" t="inlineStr"/>
      <c r="I8" t="inlineStr"/>
      <c r="J8" t="inlineStr">
        <is>
          <t>직무분야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전문분야</t>
        </is>
      </c>
      <c r="S8" t="inlineStr"/>
      <c r="T8" t="inlineStr"/>
      <c r="U8" t="inlineStr"/>
      <c r="V8" t="inlineStr"/>
      <c r="W8" t="inlineStr"/>
    </row>
    <row r="9">
      <c r="A9" t="inlineStr"/>
      <c r="B9" t="inlineStr">
        <is>
          <t>토목 특급</t>
        </is>
      </c>
      <c r="C9" t="inlineStr"/>
      <c r="D9" t="inlineStr"/>
      <c r="E9" t="inlineStr"/>
      <c r="F9" t="inlineStr">
        <is>
          <t>토목품질관리 특급</t>
        </is>
      </c>
      <c r="G9" t="inlineStr"/>
      <c r="H9" t="inlineStr"/>
      <c r="I9" t="inlineStr"/>
      <c r="J9" t="inlineStr">
        <is>
          <t>토목 특급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토목품질관리 특급</t>
        </is>
      </c>
      <c r="S9" t="inlineStr"/>
      <c r="T9" t="inlineStr"/>
      <c r="U9" t="inlineStr"/>
      <c r="V9" t="inlineStr">
        <is>
          <t>특급</t>
        </is>
      </c>
      <c r="W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국가
기술자격</t>
        </is>
      </c>
      <c r="B11" t="inlineStr">
        <is>
          <t>종목 및 등급</t>
        </is>
      </c>
      <c r="C11" t="inlineStr"/>
      <c r="D11" t="inlineStr"/>
      <c r="E11" t="inlineStr"/>
      <c r="F11" t="inlineStr"/>
      <c r="G11" t="inlineStr">
        <is>
          <t>합격일</t>
        </is>
      </c>
      <c r="H11" t="inlineStr">
        <is>
          <t>등록번호</t>
        </is>
      </c>
      <c r="I11" t="inlineStr"/>
      <c r="J11" t="inlineStr"/>
      <c r="K11" t="inlineStr"/>
      <c r="L11" t="inlineStr"/>
      <c r="M11" t="inlineStr">
        <is>
          <t>종목 및 등급</t>
        </is>
      </c>
      <c r="N11" t="inlineStr"/>
      <c r="O11" t="inlineStr"/>
      <c r="P11" t="inlineStr"/>
      <c r="Q11" t="inlineStr"/>
      <c r="R11" t="inlineStr"/>
      <c r="S11" t="inlineStr">
        <is>
          <t>합격일</t>
        </is>
      </c>
      <c r="T11" t="inlineStr"/>
      <c r="U11" t="inlineStr">
        <is>
          <t>등록번호</t>
        </is>
      </c>
      <c r="V11" t="inlineStr"/>
      <c r="W11" t="inlineStr"/>
    </row>
    <row r="12">
      <c r="A12" t="inlineStr"/>
      <c r="B12" t="inlineStr">
        <is>
          <t>토목품질시험기술사
토목기사</t>
        </is>
      </c>
      <c r="C12" t="inlineStr"/>
      <c r="D12" t="inlineStr"/>
      <c r="E12" t="inlineStr"/>
      <c r="F12" t="inlineStr"/>
      <c r="G12" t="inlineStr">
        <is>
          <t>2017.04.28
1999.03.08</t>
        </is>
      </c>
      <c r="H12" t="inlineStr">
        <is>
          <t>17111010216Z
99201160090B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학력</t>
        </is>
      </c>
      <c r="B14" t="inlineStr">
        <is>
          <t>졸업일</t>
        </is>
      </c>
      <c r="C14" t="inlineStr">
        <is>
          <t>학교명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학과(전공)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학위</t>
        </is>
      </c>
      <c r="U14" t="inlineStr"/>
      <c r="V14" t="inlineStr"/>
      <c r="W14" t="inlineStr"/>
    </row>
    <row r="15">
      <c r="A15" t="inlineStr"/>
      <c r="B15" t="inlineStr">
        <is>
          <t>2002.02.15
2000.02.18</t>
        </is>
      </c>
      <c r="C15" t="inlineStr">
        <is>
          <t>금오공과대학교일반대학원
금오공과대학교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토목공학과
토목공학과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석사[졸업]
학사[졸업]</t>
        </is>
      </c>
      <c r="U15" t="inlineStr"/>
      <c r="V15" t="inlineStr"/>
      <c r="W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교육훈련</t>
        </is>
      </c>
      <c r="B17" t="inlineStr">
        <is>
          <t>교육기간</t>
        </is>
      </c>
      <c r="C17" t="inlineStr"/>
      <c r="D17" t="inlineStr"/>
      <c r="E17" t="inlineStr"/>
      <c r="F17" t="inlineStr">
        <is>
          <t>과정명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교육기관명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교육인정여부</t>
        </is>
      </c>
    </row>
    <row r="18">
      <c r="A18" t="inlineStr"/>
      <c r="B18" t="inlineStr">
        <is>
          <t>2025.07.09 ~ 2025.07.17
2022.08.17 ~ 2022.08.18
2022.08.10 ~ 2022.08.18</t>
        </is>
      </c>
      <c r="C18" t="inlineStr"/>
      <c r="D18" t="inlineStr"/>
      <c r="E18" t="inlineStr"/>
      <c r="F18" t="inlineStr">
        <is>
          <t>건설사업관리기술인계속특급전문교육(원격
교육)
건설사업관리기술인(안전관리)계속특급전문
교육
건설사업관리기술인계속특급전문교육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건설기술교육원
건설기술교육원
건설기술교육원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건설사업관리
건설사업관리
건설사업관리</t>
        </is>
      </c>
    </row>
    <row r="19">
      <c r="A19" t="inlineStr"/>
      <c r="B19" t="inlineStr">
        <is>
          <t>「건설기술 진흥법 시행령」 별표 3 제2호나목1)나),2)나)(1)·(2) 및 3)나)에 따른 의무교육 이수 시간
- 설계·시공 등 업무를 수행하는 건설기술인 계속교육:
- 건설사업관리 업무를 수행하는 건설기술인 계속교육: 140시간
- 품질관리 업무를 수행하는 건설기술인 계속교육: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상훈</t>
        </is>
      </c>
      <c r="B21" t="inlineStr">
        <is>
          <t>수여일</t>
        </is>
      </c>
      <c r="C21" t="inlineStr"/>
      <c r="D21" t="inlineStr">
        <is>
          <t>수여기관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종류 및 근거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>
        <is>
          <t>2022.12.31
2019.09.30</t>
        </is>
      </c>
      <c r="C22" t="inlineStr"/>
      <c r="D22" t="inlineStr">
        <is>
          <t>국토교통부
부산지방국토관리청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표창장[제41279호]
표창장[제2690호]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벌점 및
제재사항</t>
        </is>
      </c>
      <c r="B24" t="inlineStr">
        <is>
          <t>벌점 *해당없음*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/>
      <c r="B25" t="inlineStr">
        <is>
          <t>제재일</t>
        </is>
      </c>
      <c r="C25" t="inlineStr"/>
      <c r="D25" t="inlineStr">
        <is>
          <t>종류 및 제재기간
** 해당없음 **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근거</t>
        </is>
      </c>
      <c r="O25" t="inlineStr"/>
      <c r="P25" t="inlineStr"/>
      <c r="Q25" t="inlineStr"/>
      <c r="R25" t="inlineStr"/>
      <c r="S25" t="inlineStr">
        <is>
          <t>제재기관</t>
        </is>
      </c>
      <c r="T25" t="inlineStr"/>
      <c r="U25" t="inlineStr"/>
      <c r="V25" t="inlineStr"/>
      <c r="W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근무처</t>
        </is>
      </c>
      <c r="B27" t="inlineStr">
        <is>
          <t>근무기간</t>
        </is>
      </c>
      <c r="C27" t="inlineStr"/>
      <c r="D27" t="inlineStr"/>
      <c r="E27" t="inlineStr">
        <is>
          <t>상호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근무기간</t>
        </is>
      </c>
      <c r="N27" t="inlineStr"/>
      <c r="O27" t="inlineStr"/>
      <c r="P27" t="inlineStr">
        <is>
          <t>상호</t>
        </is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>
        <is>
          <t>1999.12.06 ~
2000.05.01</t>
        </is>
      </c>
      <c r="C28" t="inlineStr"/>
      <c r="D28" t="inlineStr"/>
      <c r="E28" t="inlineStr">
        <is>
          <t>대웅종합건설(주)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2000.05.02 ~
2002.04.08</t>
        </is>
      </c>
      <c r="N28" t="inlineStr"/>
      <c r="O28" t="inlineStr"/>
      <c r="P28" t="inlineStr">
        <is>
          <t>대웅종합건설(주)</t>
        </is>
      </c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>
        <is>
          <t>2002.04.09 ~
2005.09.30</t>
        </is>
      </c>
      <c r="C29" t="inlineStr"/>
      <c r="D29" t="inlineStr"/>
      <c r="E29" t="inlineStr">
        <is>
          <t>엔아이에스컨설턴트(주)
:(주)이도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2005.10.01 ~
2006.04.30</t>
        </is>
      </c>
      <c r="N29" t="inlineStr"/>
      <c r="O29" t="inlineStr"/>
      <c r="P29" t="inlineStr">
        <is>
          <t>(주)솔토</t>
        </is>
      </c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>
        <is>
          <t>2006.05.01 ~
근 무 중</t>
        </is>
      </c>
      <c r="C30" t="inlineStr"/>
      <c r="D30" t="inlineStr"/>
      <c r="E30" t="inlineStr">
        <is>
          <t>(주)한국종합기술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cols>
    <col width="34" customWidth="1" min="1" max="1"/>
    <col width="55" customWidth="1" min="2" max="2"/>
    <col width="8" customWidth="1" min="3" max="3"/>
    <col width="10" customWidth="1" min="4" max="4"/>
    <col width="8" customWidth="1" min="5" max="5"/>
    <col width="55" customWidth="1" min="6" max="6"/>
    <col width="8" customWidth="1" min="7" max="7"/>
    <col width="8" customWidth="1" min="8" max="8"/>
    <col width="8" customWidth="1" min="9" max="9"/>
    <col width="8" customWidth="1" min="10" max="10"/>
    <col width="26" customWidth="1" min="11" max="11"/>
    <col width="8" customWidth="1" min="12" max="12"/>
    <col width="8" customWidth="1" min="13" max="13"/>
    <col width="8" customWidth="1" min="14" max="14"/>
    <col width="8" customWidth="1" min="15" max="15"/>
    <col width="49" customWidth="1" min="16" max="16"/>
    <col width="14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35" customWidth="1" min="23" max="23"/>
  </cols>
  <sheetData>
    <row r="1">
      <c r="A1">
        <f>== merged table 0  (33 x 23) ===</f>
        <v/>
      </c>
    </row>
    <row r="2">
      <c r="A2" t="inlineStr">
        <is>
          <t>관리번호 # 0 1 8 1 7 1 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발급번호 20250724 - C01420118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인적사항</t>
        </is>
      </c>
      <c r="B4" t="inlineStr">
        <is>
          <t>성명(한글) 황규철</t>
        </is>
      </c>
      <c r="C4" t="inlineStr"/>
      <c r="D4" t="inlineStr"/>
      <c r="E4" t="inlineStr"/>
      <c r="F4" t="inlineStr"/>
      <c r="G4" t="inlineStr"/>
      <c r="H4" t="inlineStr"/>
      <c r="I4" t="inlineStr">
        <is>
          <t>(한자)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생년월일 73.11.27</t>
        </is>
      </c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>
        <is>
          <t>주소 경북 포항시 남구 지곡로 294, 219동 1102호 (지곡동, 효자그린아파트)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등급</t>
        </is>
      </c>
      <c r="B7" t="inlineStr">
        <is>
          <t>설계·시공 등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건설사업관리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품질관리</t>
        </is>
      </c>
      <c r="W7" t="inlineStr"/>
    </row>
    <row r="8">
      <c r="A8" t="inlineStr"/>
      <c r="B8" t="inlineStr">
        <is>
          <t>직무분야</t>
        </is>
      </c>
      <c r="C8" t="inlineStr"/>
      <c r="D8" t="inlineStr"/>
      <c r="E8" t="inlineStr"/>
      <c r="F8" t="inlineStr">
        <is>
          <t>전문분야</t>
        </is>
      </c>
      <c r="G8" t="inlineStr"/>
      <c r="H8" t="inlineStr"/>
      <c r="I8" t="inlineStr"/>
      <c r="J8" t="inlineStr">
        <is>
          <t>직무분야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전문분야</t>
        </is>
      </c>
      <c r="S8" t="inlineStr"/>
      <c r="T8" t="inlineStr"/>
      <c r="U8" t="inlineStr"/>
      <c r="V8" t="inlineStr"/>
      <c r="W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국가
기술자격</t>
        </is>
      </c>
      <c r="B11" t="inlineStr">
        <is>
          <t>종목 및 등급</t>
        </is>
      </c>
      <c r="C11" t="inlineStr"/>
      <c r="D11" t="inlineStr"/>
      <c r="E11" t="inlineStr"/>
      <c r="F11" t="inlineStr"/>
      <c r="G11" t="inlineStr">
        <is>
          <t>합격일</t>
        </is>
      </c>
      <c r="H11" t="inlineStr">
        <is>
          <t>등록번호</t>
        </is>
      </c>
      <c r="I11" t="inlineStr"/>
      <c r="J11" t="inlineStr"/>
      <c r="K11" t="inlineStr"/>
      <c r="L11" t="inlineStr"/>
      <c r="M11" t="inlineStr">
        <is>
          <t>종목 및 등급</t>
        </is>
      </c>
      <c r="N11" t="inlineStr"/>
      <c r="O11" t="inlineStr"/>
      <c r="P11" t="inlineStr"/>
      <c r="Q11" t="inlineStr"/>
      <c r="R11" t="inlineStr"/>
      <c r="S11" t="inlineStr">
        <is>
          <t>합격일</t>
        </is>
      </c>
      <c r="T11" t="inlineStr"/>
      <c r="U11" t="inlineStr">
        <is>
          <t>등록번호</t>
        </is>
      </c>
      <c r="V11" t="inlineStr"/>
      <c r="W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학력</t>
        </is>
      </c>
      <c r="B14" t="inlineStr">
        <is>
          <t>졸업일</t>
        </is>
      </c>
      <c r="C14" t="inlineStr">
        <is>
          <t>학교명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학과(전공)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학위</t>
        </is>
      </c>
      <c r="U14" t="inlineStr"/>
      <c r="V14" t="inlineStr"/>
      <c r="W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교육훈련</t>
        </is>
      </c>
      <c r="B17" t="inlineStr">
        <is>
          <t>교육기간</t>
        </is>
      </c>
      <c r="C17" t="inlineStr"/>
      <c r="D17" t="inlineStr"/>
      <c r="E17" t="inlineStr"/>
      <c r="F17" t="inlineStr">
        <is>
          <t>과정명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교육기관명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교육인정여부</t>
        </is>
      </c>
    </row>
    <row r="18">
      <c r="A18" t="inlineStr"/>
      <c r="B18" t="inlineStr">
        <is>
          <t>2022.08.04 ~ 2022.08.10
2019.10.01 ~ 2019.10.02
2019.02.18 ~ 2019.02.22
2018.02.19 ~ 2018.02.23
2015.02.09 ~ 2015.02.13</t>
        </is>
      </c>
      <c r="C18" t="inlineStr"/>
      <c r="D18" t="inlineStr"/>
      <c r="E18" t="inlineStr"/>
      <c r="F18" t="inlineStr">
        <is>
          <t>건설사업관리기술인계속특급전문교육
건설사업안전관리기술자계속특급전문과정
건설기술자기본2(A)교육과정
건설기술자전문1(B)교육과정
전문1교육과정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건설기술교육원
한국건설기술관리협회
영남건설기술교육원
영남건설기술교육원
영남건설기술교육원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건설사업관리
건설사업관리
건설사업관리
건설사업관리
건설사업관리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상훈</t>
        </is>
      </c>
      <c r="B21" t="inlineStr">
        <is>
          <t>수여일</t>
        </is>
      </c>
      <c r="C21" t="inlineStr"/>
      <c r="D21" t="inlineStr">
        <is>
          <t>수여기관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종류 및 근거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벌점 및
제재사항</t>
        </is>
      </c>
      <c r="B24" t="inlineStr">
        <is>
          <t>벌점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/>
      <c r="B25" t="inlineStr">
        <is>
          <t>제재일</t>
        </is>
      </c>
      <c r="C25" t="inlineStr"/>
      <c r="D25" t="inlineStr">
        <is>
          <t>종류 및 제재기간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근거</t>
        </is>
      </c>
      <c r="O25" t="inlineStr"/>
      <c r="P25" t="inlineStr"/>
      <c r="Q25" t="inlineStr"/>
      <c r="R25" t="inlineStr"/>
      <c r="S25" t="inlineStr">
        <is>
          <t>제재기관</t>
        </is>
      </c>
      <c r="T25" t="inlineStr"/>
      <c r="U25" t="inlineStr"/>
      <c r="V25" t="inlineStr"/>
      <c r="W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근무처</t>
        </is>
      </c>
      <c r="B27" t="inlineStr">
        <is>
          <t>근무기간</t>
        </is>
      </c>
      <c r="C27" t="inlineStr"/>
      <c r="D27" t="inlineStr"/>
      <c r="E27" t="inlineStr">
        <is>
          <t>상호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근무기간</t>
        </is>
      </c>
      <c r="N27" t="inlineStr"/>
      <c r="O27" t="inlineStr"/>
      <c r="P27" t="inlineStr">
        <is>
          <t>상호</t>
        </is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cols>
    <col width="34" customWidth="1" min="1" max="1"/>
    <col width="55" customWidth="1" min="2" max="2"/>
    <col width="8" customWidth="1" min="3" max="3"/>
    <col width="10" customWidth="1" min="4" max="4"/>
    <col width="8" customWidth="1" min="5" max="5"/>
    <col width="55" customWidth="1" min="6" max="6"/>
    <col width="8" customWidth="1" min="7" max="7"/>
    <col width="8" customWidth="1" min="8" max="8"/>
    <col width="8" customWidth="1" min="9" max="9"/>
    <col width="8" customWidth="1" min="10" max="10"/>
    <col width="26" customWidth="1" min="11" max="11"/>
    <col width="8" customWidth="1" min="12" max="12"/>
    <col width="8" customWidth="1" min="13" max="13"/>
    <col width="8" customWidth="1" min="14" max="14"/>
    <col width="8" customWidth="1" min="15" max="15"/>
    <col width="42" customWidth="1" min="16" max="16"/>
    <col width="14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35" customWidth="1" min="23" max="23"/>
  </cols>
  <sheetData>
    <row r="1">
      <c r="A1">
        <f>== merged table 0  (33 x 23) ===</f>
        <v/>
      </c>
    </row>
    <row r="2">
      <c r="A2" t="inlineStr">
        <is>
          <t>관리번호 # 0 1 8 1 7 1 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발급번호 20250724 - C01420118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인적사항</t>
        </is>
      </c>
      <c r="B4" t="inlineStr">
        <is>
          <t>성명(한글) 황규철</t>
        </is>
      </c>
      <c r="C4" t="inlineStr"/>
      <c r="D4" t="inlineStr"/>
      <c r="E4" t="inlineStr"/>
      <c r="F4" t="inlineStr"/>
      <c r="G4" t="inlineStr"/>
      <c r="H4" t="inlineStr"/>
      <c r="I4" t="inlineStr">
        <is>
          <t>(한자)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생년월일 73.11.27</t>
        </is>
      </c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>
        <is>
          <t>주소 경북 포항시 남구 지곡로 294, 219동 1102호 (지곡동, 효자그린아파트)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등급</t>
        </is>
      </c>
      <c r="B7" t="inlineStr">
        <is>
          <t>설계·시공 등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건설사업관리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품질관리</t>
        </is>
      </c>
      <c r="W7" t="inlineStr"/>
    </row>
    <row r="8">
      <c r="A8" t="inlineStr"/>
      <c r="B8" t="inlineStr">
        <is>
          <t>직무분야</t>
        </is>
      </c>
      <c r="C8" t="inlineStr"/>
      <c r="D8" t="inlineStr"/>
      <c r="E8" t="inlineStr"/>
      <c r="F8" t="inlineStr">
        <is>
          <t>전문분야</t>
        </is>
      </c>
      <c r="G8" t="inlineStr"/>
      <c r="H8" t="inlineStr"/>
      <c r="I8" t="inlineStr"/>
      <c r="J8" t="inlineStr">
        <is>
          <t>직무분야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전문분야</t>
        </is>
      </c>
      <c r="S8" t="inlineStr"/>
      <c r="T8" t="inlineStr"/>
      <c r="U8" t="inlineStr"/>
      <c r="V8" t="inlineStr"/>
      <c r="W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국가
기술자격</t>
        </is>
      </c>
      <c r="B11" t="inlineStr">
        <is>
          <t>종목 및 등급</t>
        </is>
      </c>
      <c r="C11" t="inlineStr"/>
      <c r="D11" t="inlineStr"/>
      <c r="E11" t="inlineStr"/>
      <c r="F11" t="inlineStr"/>
      <c r="G11" t="inlineStr">
        <is>
          <t>합격일</t>
        </is>
      </c>
      <c r="H11" t="inlineStr">
        <is>
          <t>등록번호</t>
        </is>
      </c>
      <c r="I11" t="inlineStr"/>
      <c r="J11" t="inlineStr"/>
      <c r="K11" t="inlineStr"/>
      <c r="L11" t="inlineStr"/>
      <c r="M11" t="inlineStr">
        <is>
          <t>종목 및 등급</t>
        </is>
      </c>
      <c r="N11" t="inlineStr"/>
      <c r="O11" t="inlineStr"/>
      <c r="P11" t="inlineStr"/>
      <c r="Q11" t="inlineStr"/>
      <c r="R11" t="inlineStr"/>
      <c r="S11" t="inlineStr">
        <is>
          <t>합격일</t>
        </is>
      </c>
      <c r="T11" t="inlineStr"/>
      <c r="U11" t="inlineStr">
        <is>
          <t>등록번호</t>
        </is>
      </c>
      <c r="V11" t="inlineStr"/>
      <c r="W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학력</t>
        </is>
      </c>
      <c r="B14" t="inlineStr">
        <is>
          <t>졸업일</t>
        </is>
      </c>
      <c r="C14" t="inlineStr">
        <is>
          <t>학교명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학과(전공)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학위</t>
        </is>
      </c>
      <c r="U14" t="inlineStr"/>
      <c r="V14" t="inlineStr"/>
      <c r="W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교육훈련</t>
        </is>
      </c>
      <c r="B17" t="inlineStr">
        <is>
          <t>교육기간</t>
        </is>
      </c>
      <c r="C17" t="inlineStr"/>
      <c r="D17" t="inlineStr"/>
      <c r="E17" t="inlineStr"/>
      <c r="F17" t="inlineStr">
        <is>
          <t>과정명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교육기관명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교육인정여부</t>
        </is>
      </c>
    </row>
    <row r="18">
      <c r="A18" t="inlineStr"/>
      <c r="B18" t="inlineStr">
        <is>
          <t>2015.01.26 ~ 2015.01.30
2012.02.20 ~ 2012.02.24
2012.02.06 ~ 2012.02.10
2008.03.17 ~ 2008.03.21
2008.01.14 ~ 2008.01.18</t>
        </is>
      </c>
      <c r="C18" t="inlineStr"/>
      <c r="D18" t="inlineStr"/>
      <c r="E18" t="inlineStr"/>
      <c r="F18" t="inlineStr">
        <is>
          <t>건설사업관리전문3교육과정
감리사전문교육과정
감리사전문교육과정
감리사보전문교육과정
감리사보기본교육과정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영남건설기술교육원
건설기술교육원
건설기술교육원
건설기술교육원
건설기술교육원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건설사업관리
건설사업관리
건설사업관리
건설사업관리
건설사업관리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상훈</t>
        </is>
      </c>
      <c r="B21" t="inlineStr">
        <is>
          <t>수여일</t>
        </is>
      </c>
      <c r="C21" t="inlineStr"/>
      <c r="D21" t="inlineStr">
        <is>
          <t>수여기관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종류 및 근거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벌점 및
제재사항</t>
        </is>
      </c>
      <c r="B24" t="inlineStr">
        <is>
          <t>벌점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/>
      <c r="B25" t="inlineStr">
        <is>
          <t>제재일</t>
        </is>
      </c>
      <c r="C25" t="inlineStr"/>
      <c r="D25" t="inlineStr">
        <is>
          <t>종류 및 제재기간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근거</t>
        </is>
      </c>
      <c r="O25" t="inlineStr"/>
      <c r="P25" t="inlineStr"/>
      <c r="Q25" t="inlineStr"/>
      <c r="R25" t="inlineStr"/>
      <c r="S25" t="inlineStr">
        <is>
          <t>제재기관</t>
        </is>
      </c>
      <c r="T25" t="inlineStr"/>
      <c r="U25" t="inlineStr"/>
      <c r="V25" t="inlineStr"/>
      <c r="W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근무처</t>
        </is>
      </c>
      <c r="B27" t="inlineStr">
        <is>
          <t>근무기간</t>
        </is>
      </c>
      <c r="C27" t="inlineStr"/>
      <c r="D27" t="inlineStr"/>
      <c r="E27" t="inlineStr">
        <is>
          <t>상호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근무기간</t>
        </is>
      </c>
      <c r="N27" t="inlineStr"/>
      <c r="O27" t="inlineStr"/>
      <c r="P27" t="inlineStr">
        <is>
          <t>상호</t>
        </is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8" customWidth="1" min="3" max="3"/>
    <col width="10" customWidth="1" min="4" max="4"/>
    <col width="8" customWidth="1" min="5" max="5"/>
    <col width="11" customWidth="1" min="6" max="6"/>
    <col width="8" customWidth="1" min="7" max="7"/>
    <col width="8" customWidth="1" min="8" max="8"/>
    <col width="8" customWidth="1" min="9" max="9"/>
    <col width="8" customWidth="1" min="10" max="10"/>
    <col width="2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4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>
        <f>== merged table 0  (33 x 23) ===</f>
        <v/>
      </c>
    </row>
    <row r="2">
      <c r="A2" t="inlineStr">
        <is>
          <t>관리번호 # 0 1 8 1 7 1 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발급번호 20250724 - C01420118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인적사항</t>
        </is>
      </c>
      <c r="B4" t="inlineStr">
        <is>
          <t>성명(한글) 황규철</t>
        </is>
      </c>
      <c r="C4" t="inlineStr"/>
      <c r="D4" t="inlineStr"/>
      <c r="E4" t="inlineStr"/>
      <c r="F4" t="inlineStr"/>
      <c r="G4" t="inlineStr"/>
      <c r="H4" t="inlineStr"/>
      <c r="I4" t="inlineStr">
        <is>
          <t>(한자)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생년월일 73.11.27</t>
        </is>
      </c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>
        <is>
          <t>주소 경북 포항시 남구 지곡로 294, 219동 1102호 (지곡동, 효자그린아파트)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등급</t>
        </is>
      </c>
      <c r="B7" t="inlineStr">
        <is>
          <t>설계·시공 등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건설사업관리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품질관리</t>
        </is>
      </c>
      <c r="W7" t="inlineStr"/>
    </row>
    <row r="8">
      <c r="A8" t="inlineStr"/>
      <c r="B8" t="inlineStr">
        <is>
          <t>직무분야</t>
        </is>
      </c>
      <c r="C8" t="inlineStr"/>
      <c r="D8" t="inlineStr"/>
      <c r="E8" t="inlineStr"/>
      <c r="F8" t="inlineStr">
        <is>
          <t>전문분야</t>
        </is>
      </c>
      <c r="G8" t="inlineStr"/>
      <c r="H8" t="inlineStr"/>
      <c r="I8" t="inlineStr"/>
      <c r="J8" t="inlineStr">
        <is>
          <t>직무분야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전문분야</t>
        </is>
      </c>
      <c r="S8" t="inlineStr"/>
      <c r="T8" t="inlineStr"/>
      <c r="U8" t="inlineStr"/>
      <c r="V8" t="inlineStr"/>
      <c r="W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국가
기술자격</t>
        </is>
      </c>
      <c r="B11" t="inlineStr">
        <is>
          <t>종목 및 등급</t>
        </is>
      </c>
      <c r="C11" t="inlineStr"/>
      <c r="D11" t="inlineStr"/>
      <c r="E11" t="inlineStr"/>
      <c r="F11" t="inlineStr"/>
      <c r="G11" t="inlineStr">
        <is>
          <t>합격일</t>
        </is>
      </c>
      <c r="H11" t="inlineStr">
        <is>
          <t>등록번호</t>
        </is>
      </c>
      <c r="I11" t="inlineStr"/>
      <c r="J11" t="inlineStr"/>
      <c r="K11" t="inlineStr"/>
      <c r="L11" t="inlineStr"/>
      <c r="M11" t="inlineStr">
        <is>
          <t>종목 및 등급</t>
        </is>
      </c>
      <c r="N11" t="inlineStr"/>
      <c r="O11" t="inlineStr"/>
      <c r="P11" t="inlineStr"/>
      <c r="Q11" t="inlineStr"/>
      <c r="R11" t="inlineStr"/>
      <c r="S11" t="inlineStr">
        <is>
          <t>합격일</t>
        </is>
      </c>
      <c r="T11" t="inlineStr"/>
      <c r="U11" t="inlineStr">
        <is>
          <t>등록번호</t>
        </is>
      </c>
      <c r="V11" t="inlineStr"/>
      <c r="W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학력</t>
        </is>
      </c>
      <c r="B14" t="inlineStr">
        <is>
          <t>졸업일</t>
        </is>
      </c>
      <c r="C14" t="inlineStr">
        <is>
          <t>학교명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학과(전공)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학위</t>
        </is>
      </c>
      <c r="U14" t="inlineStr"/>
      <c r="V14" t="inlineStr"/>
      <c r="W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교육훈련</t>
        </is>
      </c>
      <c r="B17" t="inlineStr">
        <is>
          <t>교육기간</t>
        </is>
      </c>
      <c r="C17" t="inlineStr"/>
      <c r="D17" t="inlineStr"/>
      <c r="E17" t="inlineStr"/>
      <c r="F17" t="inlineStr">
        <is>
          <t>과정명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교육기관명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교육인정여부</t>
        </is>
      </c>
    </row>
    <row r="18">
      <c r="A18" t="inlineStr"/>
      <c r="B18" t="inlineStr">
        <is>
          <t>2007.09.10 ~ 2007.09.14</t>
        </is>
      </c>
      <c r="C18" t="inlineStr"/>
      <c r="D18" t="inlineStr"/>
      <c r="E18" t="inlineStr"/>
      <c r="F18" t="inlineStr">
        <is>
          <t>감리사보기본교육과정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건설기술교육원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건설사업관리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상훈</t>
        </is>
      </c>
      <c r="B21" t="inlineStr">
        <is>
          <t>수여일</t>
        </is>
      </c>
      <c r="C21" t="inlineStr"/>
      <c r="D21" t="inlineStr">
        <is>
          <t>수여기관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종류 및 근거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벌점 및
제재사항</t>
        </is>
      </c>
      <c r="B24" t="inlineStr">
        <is>
          <t>벌점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/>
      <c r="B25" t="inlineStr">
        <is>
          <t>제재일</t>
        </is>
      </c>
      <c r="C25" t="inlineStr"/>
      <c r="D25" t="inlineStr">
        <is>
          <t>종류 및 제재기간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근거</t>
        </is>
      </c>
      <c r="O25" t="inlineStr"/>
      <c r="P25" t="inlineStr"/>
      <c r="Q25" t="inlineStr"/>
      <c r="R25" t="inlineStr"/>
      <c r="S25" t="inlineStr">
        <is>
          <t>제재기관</t>
        </is>
      </c>
      <c r="T25" t="inlineStr"/>
      <c r="U25" t="inlineStr"/>
      <c r="V25" t="inlineStr"/>
      <c r="W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근무처</t>
        </is>
      </c>
      <c r="B27" t="inlineStr">
        <is>
          <t>근무기간</t>
        </is>
      </c>
      <c r="C27" t="inlineStr"/>
      <c r="D27" t="inlineStr"/>
      <c r="E27" t="inlineStr">
        <is>
          <t>상호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근무기간</t>
        </is>
      </c>
      <c r="N27" t="inlineStr"/>
      <c r="O27" t="inlineStr"/>
      <c r="P27" t="inlineStr">
        <is>
          <t>상호</t>
        </is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9" customWidth="1" min="3" max="3"/>
    <col width="14" customWidth="1" min="4" max="4"/>
  </cols>
  <sheetData>
    <row r="1">
      <c r="A1">
        <f>== merged table 0  (28 x 4) ===</f>
        <v/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본사견적</t>
        </is>
      </c>
      <c r="B6" t="inlineStr"/>
      <c r="C6" t="inlineStr">
        <is>
          <t>토목</t>
        </is>
      </c>
      <c r="D6" t="inlineStr"/>
    </row>
    <row r="7">
      <c r="A7" t="inlineStr"/>
      <c r="B7" t="inlineStr"/>
      <c r="C7" t="inlineStr"/>
      <c r="D7" t="inlineStr">
        <is>
          <t>기사</t>
        </is>
      </c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작곡진입로확.포장공사</t>
        </is>
      </c>
      <c r="B10" t="inlineStr"/>
      <c r="C10" t="inlineStr">
        <is>
          <t>토목</t>
        </is>
      </c>
      <c r="D10" t="inlineStr">
        <is>
          <t>설계</t>
        </is>
      </c>
    </row>
    <row r="11">
      <c r="A11" t="inlineStr">
        <is>
          <t>예천군</t>
        </is>
      </c>
      <c r="B11" t="inlineStr">
        <is>
          <t>도로</t>
        </is>
      </c>
      <c r="C11" t="inlineStr">
        <is>
          <t>토목구조</t>
        </is>
      </c>
      <c r="D11" t="inlineStr">
        <is>
          <t>주임</t>
        </is>
      </c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산촌지구경지정리사업</t>
        </is>
      </c>
      <c r="B14" t="inlineStr"/>
      <c r="C14" t="inlineStr">
        <is>
          <t>토목</t>
        </is>
      </c>
      <c r="D14" t="inlineStr">
        <is>
          <t>설계</t>
        </is>
      </c>
    </row>
    <row r="15">
      <c r="A15" t="inlineStr">
        <is>
          <t>구미시선산출장소</t>
        </is>
      </c>
      <c r="B15" t="inlineStr"/>
      <c r="C15" t="inlineStr">
        <is>
          <t>토목구조</t>
        </is>
      </c>
      <c r="D15" t="inlineStr">
        <is>
          <t>주임</t>
        </is>
      </c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부산-매양간도로확.포장공사</t>
        </is>
      </c>
      <c r="B18" t="inlineStr"/>
      <c r="C18" t="inlineStr">
        <is>
          <t>토목</t>
        </is>
      </c>
      <c r="D18" t="inlineStr">
        <is>
          <t>설계</t>
        </is>
      </c>
    </row>
    <row r="19">
      <c r="A19" t="inlineStr">
        <is>
          <t>영천시</t>
        </is>
      </c>
      <c r="B19" t="inlineStr"/>
      <c r="C19" t="inlineStr">
        <is>
          <t>토목구조</t>
        </is>
      </c>
      <c r="D19" t="inlineStr">
        <is>
          <t>주임</t>
        </is>
      </c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지하철편의시설(1-4호선강북구간일반역사)기본및실시설계용역</t>
        </is>
      </c>
      <c r="B22" t="inlineStr"/>
      <c r="C22" t="inlineStr">
        <is>
          <t>토목</t>
        </is>
      </c>
      <c r="D22" t="inlineStr">
        <is>
          <t>설계</t>
        </is>
      </c>
    </row>
    <row r="23">
      <c r="A23" t="inlineStr">
        <is>
          <t>삼안건설기술공사</t>
        </is>
      </c>
      <c r="B23" t="inlineStr">
        <is>
          <t>지하철</t>
        </is>
      </c>
      <c r="C23" t="inlineStr">
        <is>
          <t>토목구조</t>
        </is>
      </c>
      <c r="D23" t="inlineStr">
        <is>
          <t>사원</t>
        </is>
      </c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미아~삼양간경전철민간제안사업</t>
        </is>
      </c>
      <c r="B26" t="inlineStr"/>
      <c r="C26" t="inlineStr">
        <is>
          <t>토목</t>
        </is>
      </c>
      <c r="D26" t="inlineStr">
        <is>
          <t>설계</t>
        </is>
      </c>
    </row>
    <row r="27">
      <c r="A27" t="inlineStr">
        <is>
          <t>삼안건설기술공사</t>
        </is>
      </c>
      <c r="B27" t="inlineStr">
        <is>
          <t>지하철</t>
        </is>
      </c>
      <c r="C27" t="inlineStr">
        <is>
          <t>토목구조</t>
        </is>
      </c>
      <c r="D27" t="inlineStr">
        <is>
          <t>사원</t>
        </is>
      </c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9" customWidth="1" min="3" max="3"/>
    <col width="14" customWidth="1" min="4" max="4"/>
  </cols>
  <sheetData>
    <row r="1">
      <c r="A1">
        <f>== merged table 0  (28 x 4) ===</f>
        <v/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오리~수원간복선전철사업(영통-방죽)</t>
        </is>
      </c>
      <c r="B6" t="inlineStr"/>
      <c r="C6" t="inlineStr">
        <is>
          <t>토목</t>
        </is>
      </c>
      <c r="D6" t="inlineStr">
        <is>
          <t>설계</t>
        </is>
      </c>
    </row>
    <row r="7">
      <c r="A7" t="inlineStr">
        <is>
          <t>삼안건설기술공사</t>
        </is>
      </c>
      <c r="B7" t="inlineStr">
        <is>
          <t>지하철</t>
        </is>
      </c>
      <c r="C7" t="inlineStr">
        <is>
          <t>토목구조</t>
        </is>
      </c>
      <c r="D7" t="inlineStr">
        <is>
          <t>사원</t>
        </is>
      </c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지하철9호선911공구건설공사변경설계용역</t>
        </is>
      </c>
      <c r="B10" t="inlineStr"/>
      <c r="C10" t="inlineStr">
        <is>
          <t>토목</t>
        </is>
      </c>
      <c r="D10" t="inlineStr">
        <is>
          <t>설계</t>
        </is>
      </c>
    </row>
    <row r="11">
      <c r="A11" t="inlineStr">
        <is>
          <t>삼안건설기술공사</t>
        </is>
      </c>
      <c r="B11" t="inlineStr">
        <is>
          <t>지하철</t>
        </is>
      </c>
      <c r="C11" t="inlineStr">
        <is>
          <t>토목구조</t>
        </is>
      </c>
      <c r="D11" t="inlineStr">
        <is>
          <t>사원</t>
        </is>
      </c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분당선왕십리~선릉간복선전철제3공구턴키실시설계용역</t>
        </is>
      </c>
      <c r="B14" t="inlineStr"/>
      <c r="C14" t="inlineStr">
        <is>
          <t>토목</t>
        </is>
      </c>
      <c r="D14" t="inlineStr">
        <is>
          <t>설계</t>
        </is>
      </c>
    </row>
    <row r="15">
      <c r="A15" t="inlineStr">
        <is>
          <t>삼안건설기술공사</t>
        </is>
      </c>
      <c r="B15" t="inlineStr">
        <is>
          <t>지하철</t>
        </is>
      </c>
      <c r="C15" t="inlineStr">
        <is>
          <t>토목구조</t>
        </is>
      </c>
      <c r="D15" t="inlineStr">
        <is>
          <t>사원</t>
        </is>
      </c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부산지하철3호선(반송선)5공구건설공사턴키실시설계용역</t>
        </is>
      </c>
      <c r="B18" t="inlineStr"/>
      <c r="C18" t="inlineStr">
        <is>
          <t>토목</t>
        </is>
      </c>
      <c r="D18" t="inlineStr">
        <is>
          <t>설계</t>
        </is>
      </c>
    </row>
    <row r="19">
      <c r="A19" t="inlineStr">
        <is>
          <t>삼안건설기술공사</t>
        </is>
      </c>
      <c r="B19" t="inlineStr">
        <is>
          <t>지하철</t>
        </is>
      </c>
      <c r="C19" t="inlineStr">
        <is>
          <t>토목구조</t>
        </is>
      </c>
      <c r="D19" t="inlineStr">
        <is>
          <t>사원</t>
        </is>
      </c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과천선과천역외2역승강설비설치기본및실시설계용역</t>
        </is>
      </c>
      <c r="B22" t="inlineStr"/>
      <c r="C22" t="inlineStr">
        <is>
          <t>토목</t>
        </is>
      </c>
      <c r="D22" t="inlineStr">
        <is>
          <t>설계</t>
        </is>
      </c>
    </row>
    <row r="23">
      <c r="A23" t="inlineStr">
        <is>
          <t>벽산엔지니어링</t>
        </is>
      </c>
      <c r="B23" t="inlineStr">
        <is>
          <t>지하철</t>
        </is>
      </c>
      <c r="C23" t="inlineStr">
        <is>
          <t>토목구조</t>
        </is>
      </c>
      <c r="D23" t="inlineStr">
        <is>
          <t>사원</t>
        </is>
      </c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인천도시철도1호선송도연장사업1구간기본및실시설계용역</t>
        </is>
      </c>
      <c r="B26" t="inlineStr"/>
      <c r="C26" t="inlineStr">
        <is>
          <t>토목</t>
        </is>
      </c>
      <c r="D26" t="inlineStr">
        <is>
          <t>설계</t>
        </is>
      </c>
    </row>
    <row r="27">
      <c r="A27" t="inlineStr">
        <is>
          <t>인천도시철도,삼안건설기술공사</t>
        </is>
      </c>
      <c r="B27" t="inlineStr">
        <is>
          <t>지하철</t>
        </is>
      </c>
      <c r="C27" t="inlineStr">
        <is>
          <t>토목구조</t>
        </is>
      </c>
      <c r="D27" t="inlineStr">
        <is>
          <t>대리</t>
        </is>
      </c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9" customWidth="1" min="3" max="3"/>
    <col width="14" customWidth="1" min="4" max="4"/>
  </cols>
  <sheetData>
    <row r="1">
      <c r="A1">
        <f>== merged table 0  (28 x 4) ===</f>
        <v/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용인동백지구주변도로실시설계용역</t>
        </is>
      </c>
      <c r="B6" t="inlineStr"/>
      <c r="C6" t="inlineStr">
        <is>
          <t>토목</t>
        </is>
      </c>
      <c r="D6" t="inlineStr">
        <is>
          <t>설계</t>
        </is>
      </c>
    </row>
    <row r="7">
      <c r="A7" t="inlineStr">
        <is>
          <t>토지공사,삼안건설기술공사</t>
        </is>
      </c>
      <c r="B7" t="inlineStr">
        <is>
          <t>일반교량</t>
        </is>
      </c>
      <c r="C7" t="inlineStr">
        <is>
          <t>토목구조</t>
        </is>
      </c>
      <c r="D7" t="inlineStr">
        <is>
          <t>대리</t>
        </is>
      </c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서울지하철7호선연장704공구건설공사</t>
        </is>
      </c>
      <c r="B10" t="inlineStr"/>
      <c r="C10" t="inlineStr">
        <is>
          <t>토목</t>
        </is>
      </c>
      <c r="D10" t="inlineStr">
        <is>
          <t>설계</t>
        </is>
      </c>
    </row>
    <row r="11">
      <c r="A11" t="inlineStr">
        <is>
          <t>두산건설(주)</t>
        </is>
      </c>
      <c r="B11" t="inlineStr">
        <is>
          <t>지하철</t>
        </is>
      </c>
      <c r="C11" t="inlineStr">
        <is>
          <t>토목구조</t>
        </is>
      </c>
      <c r="D11" t="inlineStr">
        <is>
          <t>대리</t>
        </is>
      </c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과천선범계역외4개역승강설비설치기본및실시설계용역</t>
        </is>
      </c>
      <c r="B14" t="inlineStr"/>
      <c r="C14" t="inlineStr">
        <is>
          <t>토목</t>
        </is>
      </c>
      <c r="D14" t="inlineStr">
        <is>
          <t>설계</t>
        </is>
      </c>
    </row>
    <row r="15">
      <c r="A15" t="inlineStr">
        <is>
          <t>철도청,벽산엔지니어링</t>
        </is>
      </c>
      <c r="B15" t="inlineStr">
        <is>
          <t>지하철</t>
        </is>
      </c>
      <c r="C15" t="inlineStr">
        <is>
          <t>토목구조</t>
        </is>
      </c>
      <c r="D15" t="inlineStr">
        <is>
          <t>대리</t>
        </is>
      </c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경전선진주~광양복선화제2공구노반건설공사턴키용역</t>
        </is>
      </c>
      <c r="B18" t="inlineStr"/>
      <c r="C18" t="inlineStr">
        <is>
          <t>토목</t>
        </is>
      </c>
      <c r="D18" t="inlineStr">
        <is>
          <t>설계</t>
        </is>
      </c>
    </row>
    <row r="19">
      <c r="A19" t="inlineStr">
        <is>
          <t>신성엔지니어링(주)</t>
        </is>
      </c>
      <c r="B19" t="inlineStr">
        <is>
          <t>철도노반시설</t>
        </is>
      </c>
      <c r="C19" t="inlineStr">
        <is>
          <t>토목구조</t>
        </is>
      </c>
      <c r="D19" t="inlineStr">
        <is>
          <t>대리</t>
        </is>
      </c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소사~정왕복선전철(신현~선부간)노반기본설계용역</t>
        </is>
      </c>
      <c r="B22" t="inlineStr"/>
      <c r="C22" t="inlineStr">
        <is>
          <t>토목</t>
        </is>
      </c>
      <c r="D22" t="inlineStr">
        <is>
          <t>설계</t>
        </is>
      </c>
    </row>
    <row r="23">
      <c r="A23" t="inlineStr">
        <is>
          <t>삼안건설기술공사</t>
        </is>
      </c>
      <c r="B23" t="inlineStr">
        <is>
          <t>지하철</t>
        </is>
      </c>
      <c r="C23" t="inlineStr">
        <is>
          <t>토목구조</t>
        </is>
      </c>
      <c r="D23" t="inlineStr">
        <is>
          <t>대리</t>
        </is>
      </c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동대문환경자원센터민간투자사업</t>
        </is>
      </c>
      <c r="B26" t="inlineStr"/>
      <c r="C26" t="inlineStr">
        <is>
          <t>토목</t>
        </is>
      </c>
      <c r="D26" t="inlineStr">
        <is>
          <t>설계</t>
        </is>
      </c>
    </row>
    <row r="27">
      <c r="A27" t="inlineStr">
        <is>
          <t>삼안건설기술공사</t>
        </is>
      </c>
      <c r="B27" t="inlineStr">
        <is>
          <t>기타(환경자원센터)</t>
        </is>
      </c>
      <c r="C27" t="inlineStr">
        <is>
          <t>토목구조</t>
        </is>
      </c>
      <c r="D27" t="inlineStr">
        <is>
          <t>대리</t>
        </is>
      </c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9" customWidth="1" min="3" max="3"/>
    <col width="14" customWidth="1" min="4" max="4"/>
  </cols>
  <sheetData>
    <row r="1">
      <c r="A1">
        <f>== merged table 0  (28 x 4) ===</f>
        <v/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서울지하철9호선907공구변경실시설계용역</t>
        </is>
      </c>
      <c r="B6" t="inlineStr"/>
      <c r="C6" t="inlineStr">
        <is>
          <t>토목</t>
        </is>
      </c>
      <c r="D6" t="inlineStr">
        <is>
          <t>설계</t>
        </is>
      </c>
    </row>
    <row r="7">
      <c r="A7" t="inlineStr">
        <is>
          <t>서울특별시지하철건설본부</t>
        </is>
      </c>
      <c r="B7" t="inlineStr">
        <is>
          <t>지하철</t>
        </is>
      </c>
      <c r="C7" t="inlineStr">
        <is>
          <t>토목구조</t>
        </is>
      </c>
      <c r="D7" t="inlineStr">
        <is>
          <t>대리</t>
        </is>
      </c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대구경전철(모노레일)민간제안사업</t>
        </is>
      </c>
      <c r="B10" t="inlineStr"/>
      <c r="C10" t="inlineStr">
        <is>
          <t>토목</t>
        </is>
      </c>
      <c r="D10" t="inlineStr">
        <is>
          <t>설계</t>
        </is>
      </c>
    </row>
    <row r="11">
      <c r="A11" t="inlineStr">
        <is>
          <t>이오엔지니어즈</t>
        </is>
      </c>
      <c r="B11" t="inlineStr">
        <is>
          <t>철도노반시설</t>
        </is>
      </c>
      <c r="C11" t="inlineStr">
        <is>
          <t>토목구조</t>
        </is>
      </c>
      <c r="D11" t="inlineStr">
        <is>
          <t>대리</t>
        </is>
      </c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봉산배수지증설공사기본및실시설계용역</t>
        </is>
      </c>
      <c r="B14" t="inlineStr"/>
      <c r="C14" t="inlineStr">
        <is>
          <t>토목</t>
        </is>
      </c>
      <c r="D14" t="inlineStr">
        <is>
          <t>설계</t>
        </is>
      </c>
    </row>
    <row r="15">
      <c r="A15" t="inlineStr">
        <is>
          <t>광주광역시상수도사업본부</t>
        </is>
      </c>
      <c r="B15" t="inlineStr">
        <is>
          <t>상하수도</t>
        </is>
      </c>
      <c r="C15" t="inlineStr">
        <is>
          <t>토목구조</t>
        </is>
      </c>
      <c r="D15" t="inlineStr">
        <is>
          <t>대리</t>
        </is>
      </c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원주~강릉철도건설(평창~진부간)노반기본설계용역</t>
        </is>
      </c>
      <c r="B18" t="inlineStr"/>
      <c r="C18" t="inlineStr">
        <is>
          <t>토목</t>
        </is>
      </c>
      <c r="D18" t="inlineStr">
        <is>
          <t>설계</t>
        </is>
      </c>
    </row>
    <row r="19">
      <c r="A19" t="inlineStr">
        <is>
          <t>한국철도시설공단</t>
        </is>
      </c>
      <c r="B19" t="inlineStr">
        <is>
          <t>철도노반시설</t>
        </is>
      </c>
      <c r="C19" t="inlineStr">
        <is>
          <t>토목구조</t>
        </is>
      </c>
      <c r="D19" t="inlineStr">
        <is>
          <t>대리</t>
        </is>
      </c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남해고속도로(냉정~부산간)확장공사실시설계용역(제4공구)</t>
        </is>
      </c>
      <c r="B22" t="inlineStr"/>
      <c r="C22" t="inlineStr">
        <is>
          <t>토목</t>
        </is>
      </c>
      <c r="D22" t="inlineStr">
        <is>
          <t>설계</t>
        </is>
      </c>
    </row>
    <row r="23">
      <c r="A23" t="inlineStr">
        <is>
          <t>한국도로공사</t>
        </is>
      </c>
      <c r="B23" t="inlineStr">
        <is>
          <t>고속국도</t>
        </is>
      </c>
      <c r="C23" t="inlineStr">
        <is>
          <t>토목시공</t>
        </is>
      </c>
      <c r="D23" t="inlineStr">
        <is>
          <t>대리</t>
        </is>
      </c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돌산-우두1도로확장공사실시설계용역</t>
        </is>
      </c>
      <c r="B26" t="inlineStr"/>
      <c r="C26" t="inlineStr">
        <is>
          <t>토목</t>
        </is>
      </c>
      <c r="D26" t="inlineStr">
        <is>
          <t>설계</t>
        </is>
      </c>
    </row>
    <row r="27">
      <c r="A27" t="inlineStr">
        <is>
          <t>익산지방국토관리청</t>
        </is>
      </c>
      <c r="B27" t="inlineStr">
        <is>
          <t>국도</t>
        </is>
      </c>
      <c r="C27" t="inlineStr">
        <is>
          <t>도로및공항</t>
        </is>
      </c>
      <c r="D27" t="inlineStr">
        <is>
          <t>과장</t>
        </is>
      </c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14" customWidth="1" min="4" max="4"/>
  </cols>
  <sheetData>
    <row r="1">
      <c r="A1">
        <f>== merged table 0  (28 x 4) ===</f>
        <v/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고양삼송지구택지개발사업조사설계용역</t>
        </is>
      </c>
      <c r="B6" t="inlineStr"/>
      <c r="C6" t="inlineStr">
        <is>
          <t>토목</t>
        </is>
      </c>
      <c r="D6" t="inlineStr">
        <is>
          <t>설계</t>
        </is>
      </c>
    </row>
    <row r="7">
      <c r="A7" t="inlineStr">
        <is>
          <t>한국토지개발공사</t>
        </is>
      </c>
      <c r="B7" t="inlineStr">
        <is>
          <t>단지조성</t>
        </is>
      </c>
      <c r="C7" t="inlineStr">
        <is>
          <t>토목구조</t>
        </is>
      </c>
      <c r="D7" t="inlineStr">
        <is>
          <t>과장</t>
        </is>
      </c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청주시국도대체우회도로(북일-남일1-1)건설공사실시설계용역</t>
        </is>
      </c>
      <c r="B10" t="inlineStr"/>
      <c r="C10" t="inlineStr">
        <is>
          <t>토목</t>
        </is>
      </c>
      <c r="D10" t="inlineStr">
        <is>
          <t>설계</t>
        </is>
      </c>
    </row>
    <row r="11">
      <c r="A11" t="inlineStr">
        <is>
          <t>대전지방국토관리청</t>
        </is>
      </c>
      <c r="B11" t="inlineStr">
        <is>
          <t>도로</t>
        </is>
      </c>
      <c r="C11" t="inlineStr">
        <is>
          <t>토목시공</t>
        </is>
      </c>
      <c r="D11" t="inlineStr">
        <is>
          <t>과장</t>
        </is>
      </c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남원고기~운봉국가지원지방도건설공사실시설계용역</t>
        </is>
      </c>
      <c r="B14" t="inlineStr"/>
      <c r="C14" t="inlineStr">
        <is>
          <t>토목</t>
        </is>
      </c>
      <c r="D14" t="inlineStr">
        <is>
          <t>설계</t>
        </is>
      </c>
    </row>
    <row r="15">
      <c r="A15" t="inlineStr">
        <is>
          <t>익산지방국토관리청</t>
        </is>
      </c>
      <c r="B15" t="inlineStr">
        <is>
          <t>국도</t>
        </is>
      </c>
      <c r="C15" t="inlineStr">
        <is>
          <t>도로및공항</t>
        </is>
      </c>
      <c r="D15" t="inlineStr">
        <is>
          <t>과장</t>
        </is>
      </c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경부선천안분기점~천안나들목간개량공사실시설계용역</t>
        </is>
      </c>
      <c r="B18" t="inlineStr"/>
      <c r="C18" t="inlineStr">
        <is>
          <t>토목</t>
        </is>
      </c>
      <c r="D18" t="inlineStr">
        <is>
          <t>설계</t>
        </is>
      </c>
    </row>
    <row r="19">
      <c r="A19" t="inlineStr">
        <is>
          <t>한국도로공사</t>
        </is>
      </c>
      <c r="B19" t="inlineStr">
        <is>
          <t>고속국도</t>
        </is>
      </c>
      <c r="C19" t="inlineStr">
        <is>
          <t>토목시공</t>
        </is>
      </c>
      <c r="D19" t="inlineStr">
        <is>
          <t>과장</t>
        </is>
      </c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금강하구둑-국립생태원진입도로건설공사실시설계용역(국도21호선)</t>
        </is>
      </c>
      <c r="B22" t="inlineStr"/>
      <c r="C22" t="inlineStr">
        <is>
          <t>토목</t>
        </is>
      </c>
      <c r="D22" t="inlineStr">
        <is>
          <t>설계</t>
        </is>
      </c>
    </row>
    <row r="23">
      <c r="A23" t="inlineStr">
        <is>
          <t>대전지방국토관리청</t>
        </is>
      </c>
      <c r="B23" t="inlineStr">
        <is>
          <t>국도</t>
        </is>
      </c>
      <c r="C23" t="inlineStr">
        <is>
          <t>도로및공항</t>
        </is>
      </c>
      <c r="D23" t="inlineStr">
        <is>
          <t>과장</t>
        </is>
      </c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함양~울산고속도로건설공사실시설계용역(제4공구)</t>
        </is>
      </c>
      <c r="B26" t="inlineStr"/>
      <c r="C26" t="inlineStr">
        <is>
          <t>토목</t>
        </is>
      </c>
      <c r="D26" t="inlineStr">
        <is>
          <t>설계</t>
        </is>
      </c>
    </row>
    <row r="27">
      <c r="A27" t="inlineStr">
        <is>
          <t>한국도로공사</t>
        </is>
      </c>
      <c r="B27" t="inlineStr">
        <is>
          <t>고속국도</t>
        </is>
      </c>
      <c r="C27" t="inlineStr">
        <is>
          <t>토목시공</t>
        </is>
      </c>
      <c r="D27" t="inlineStr">
        <is>
          <t>과장</t>
        </is>
      </c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9" customWidth="1" min="3" max="3"/>
    <col width="14" customWidth="1" min="4" max="4"/>
  </cols>
  <sheetData>
    <row r="1">
      <c r="A1">
        <f>== merged table 0  (20 x 4) ===</f>
        <v/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본사/토목감리부</t>
        </is>
      </c>
      <c r="B6" t="inlineStr"/>
      <c r="C6" t="inlineStr">
        <is>
          <t>토목</t>
        </is>
      </c>
      <c r="D6" t="inlineStr">
        <is>
          <t>기타</t>
        </is>
      </c>
    </row>
    <row r="7">
      <c r="A7" t="inlineStr"/>
      <c r="B7" t="inlineStr"/>
      <c r="C7" t="inlineStr"/>
      <c r="D7" t="inlineStr">
        <is>
          <t>과장</t>
        </is>
      </c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대산~당진고속도로건설공사기본및실시설계용역(제1공구)</t>
        </is>
      </c>
      <c r="B10" t="inlineStr"/>
      <c r="C10" t="inlineStr">
        <is>
          <t>토목</t>
        </is>
      </c>
      <c r="D10" t="inlineStr">
        <is>
          <t>설계</t>
        </is>
      </c>
    </row>
    <row r="11">
      <c r="A11" t="inlineStr">
        <is>
          <t>한국도로공사</t>
        </is>
      </c>
      <c r="B11" t="inlineStr">
        <is>
          <t>고속국도</t>
        </is>
      </c>
      <c r="C11" t="inlineStr">
        <is>
          <t>토목시공</t>
        </is>
      </c>
      <c r="D11" t="inlineStr">
        <is>
          <t>상무</t>
        </is>
      </c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계양~강화간고속도로건설공사기본및실시설계(제2공구)</t>
        </is>
      </c>
      <c r="B14" t="inlineStr"/>
      <c r="C14" t="inlineStr">
        <is>
          <t>토목</t>
        </is>
      </c>
      <c r="D14" t="inlineStr">
        <is>
          <t>설계</t>
        </is>
      </c>
    </row>
    <row r="15">
      <c r="A15" t="inlineStr">
        <is>
          <t>한국도로공사</t>
        </is>
      </c>
      <c r="B15" t="inlineStr">
        <is>
          <t>고속국도</t>
        </is>
      </c>
      <c r="C15" t="inlineStr">
        <is>
          <t>토목시공</t>
        </is>
      </c>
      <c r="D15" t="inlineStr">
        <is>
          <t>상무</t>
        </is>
      </c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김천시국도대체우회도로(양천~대항)건설공사기본및실시설계용역</t>
        </is>
      </c>
      <c r="B18" t="inlineStr"/>
      <c r="C18" t="inlineStr">
        <is>
          <t>토목</t>
        </is>
      </c>
      <c r="D18" t="inlineStr">
        <is>
          <t>설계</t>
        </is>
      </c>
    </row>
    <row r="19">
      <c r="A19" t="inlineStr">
        <is>
          <t>부산지방국토관리청</t>
        </is>
      </c>
      <c r="B19" t="inlineStr">
        <is>
          <t>도로</t>
        </is>
      </c>
      <c r="C19" t="inlineStr"/>
      <c r="D19" t="inlineStr">
        <is>
          <t>상무</t>
        </is>
      </c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cols>
    <col width="33" customWidth="1" min="1" max="1"/>
    <col width="55" customWidth="1" min="2" max="2"/>
    <col width="8" customWidth="1" min="3" max="3"/>
    <col width="8" customWidth="1" min="4" max="4"/>
    <col width="14" customWidth="1" min="5" max="5"/>
  </cols>
  <sheetData>
    <row r="1">
      <c r="A1">
        <f>== merged table 0  (77 x 5) ===</f>
        <v/>
      </c>
    </row>
    <row r="2">
      <c r="A2" t="inlineStr"/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</row>
    <row r="3">
      <c r="A3" t="inlineStr">
        <is>
          <t>참여기간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>
        <is>
          <t>발주자 공사종류</t>
        </is>
      </c>
      <c r="C5" t="inlineStr"/>
      <c r="D5" t="inlineStr">
        <is>
          <t>전문분야</t>
        </is>
      </c>
      <c r="E5" t="inlineStr">
        <is>
          <t>직위</t>
        </is>
      </c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>
        <is>
          <t>(인정일)</t>
        </is>
      </c>
      <c r="B8" t="inlineStr">
        <is>
          <t>공사(용역)개요</t>
        </is>
      </c>
      <c r="C8" t="inlineStr"/>
      <c r="D8" t="inlineStr">
        <is>
          <t>책임정도</t>
        </is>
      </c>
      <c r="E8" t="inlineStr">
        <is>
          <t>공사(용역)금액(백만원)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(참여일)</t>
        </is>
      </c>
      <c r="B10" t="inlineStr"/>
      <c r="C10" t="inlineStr"/>
      <c r="D10" t="inlineStr"/>
      <c r="E10" t="inlineStr"/>
    </row>
    <row r="11">
      <c r="A11" t="inlineStr"/>
      <c r="B11" t="inlineStr">
        <is>
          <t>적용 공법 적용 융ㆍ복합건설기술</t>
        </is>
      </c>
      <c r="C11" t="inlineStr">
        <is>
          <t>적용</t>
        </is>
      </c>
      <c r="D11" t="inlineStr">
        <is>
          <t>신기술 등</t>
        </is>
      </c>
      <c r="E11" t="inlineStr">
        <is>
          <t>시설물 종류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>
        <is>
          <t>건설사업관리(감독권한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/>
      <c r="B15" t="inlineStr">
        <is>
          <t>서면-근남2국도건설공사전면책임감리용역</t>
        </is>
      </c>
      <c r="C15" t="inlineStr">
        <is>
          <t>토목</t>
        </is>
      </c>
      <c r="D15" t="inlineStr"/>
      <c r="E15" t="inlineStr">
        <is>
          <t>대행)</t>
        </is>
      </c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2011.02.07</t>
        </is>
      </c>
      <c r="B18" t="inlineStr"/>
      <c r="C18" t="inlineStr"/>
      <c r="D18" t="inlineStr"/>
      <c r="E18" t="inlineStr"/>
    </row>
    <row r="19">
      <c r="A19" t="inlineStr">
        <is>
          <t>~</t>
        </is>
      </c>
      <c r="B19" t="inlineStr">
        <is>
          <t>부산지방국토관리청 국도</t>
        </is>
      </c>
      <c r="C19" t="inlineStr">
        <is>
          <t>토목</t>
        </is>
      </c>
      <c r="D19" t="inlineStr">
        <is>
          <t>품질관리</t>
        </is>
      </c>
      <c r="E19" t="inlineStr">
        <is>
          <t>과장</t>
        </is>
      </c>
    </row>
    <row r="20">
      <c r="A20" t="inlineStr">
        <is>
          <t>2019.10.18</t>
        </is>
      </c>
      <c r="B20" t="inlineStr"/>
      <c r="C20" t="inlineStr"/>
      <c r="D20" t="inlineStr"/>
      <c r="E20" t="inlineStr"/>
    </row>
    <row r="21">
      <c r="A21" t="inlineStr"/>
      <c r="B21" t="inlineStr">
        <is>
          <t>도로신설9.7km(폭10.5m~20.0m),교량:2,115m/8개소(폭11.4m)[대흥4교(최대경강장</t>
        </is>
      </c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(3,176일)</t>
        </is>
      </c>
      <c r="B23" t="inlineStr">
        <is>
          <t>50m)],터널:936m/1개소,폭12.46m</t>
        </is>
      </c>
      <c r="C23" t="inlineStr">
        <is>
          <t>상주</t>
        </is>
      </c>
      <c r="D23" t="inlineStr">
        <is>
          <t>기술인</t>
        </is>
      </c>
      <c r="E23" t="inlineStr">
        <is>
          <t>114,400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(3,176일)</t>
        </is>
      </c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>
        <is>
          <t>건설사업관리(감독권한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>
        <is>
          <t>보은국토 도로구조물분야 통합건설 사업관리용역</t>
        </is>
      </c>
      <c r="C29" t="inlineStr">
        <is>
          <t>토목</t>
        </is>
      </c>
      <c r="D29" t="inlineStr"/>
      <c r="E29" t="inlineStr">
        <is>
          <t>대행)</t>
        </is>
      </c>
    </row>
    <row r="30">
      <c r="A30" t="inlineStr"/>
      <c r="B30" t="inlineStr"/>
      <c r="C30" t="inlineStr"/>
      <c r="D30" t="inlineStr"/>
      <c r="E30" t="inlineStr"/>
    </row>
    <row r="31">
      <c r="A31" t="inlineStr">
        <is>
          <t>2020.02.10</t>
        </is>
      </c>
      <c r="B31" t="inlineStr"/>
      <c r="C31" t="inlineStr"/>
      <c r="D31" t="inlineStr"/>
      <c r="E31" t="inlineStr"/>
    </row>
    <row r="32">
      <c r="A32" t="inlineStr">
        <is>
          <t>~</t>
        </is>
      </c>
      <c r="B32" t="inlineStr">
        <is>
          <t>보은국토관리사무소 국도</t>
        </is>
      </c>
      <c r="C32" t="inlineStr">
        <is>
          <t>토목</t>
        </is>
      </c>
      <c r="D32" t="inlineStr">
        <is>
          <t>품질관리</t>
        </is>
      </c>
      <c r="E32" t="inlineStr"/>
    </row>
    <row r="33">
      <c r="A33" t="inlineStr">
        <is>
          <t>2022.12.31</t>
        </is>
      </c>
      <c r="B33" t="inlineStr"/>
      <c r="C33" t="inlineStr"/>
      <c r="D33" t="inlineStr"/>
      <c r="E33" t="inlineStr"/>
    </row>
    <row r="34">
      <c r="A34" t="inlineStr"/>
      <c r="B34" t="inlineStr">
        <is>
          <t>위험도로 개선공사 1식, 구조물 유지보수공사 1식, 건설폐기물 처리용역 1식,</t>
        </is>
      </c>
      <c r="C34" t="inlineStr">
        <is>
          <t>책임</t>
        </is>
      </c>
      <c r="D34" t="inlineStr">
        <is>
          <t>건설사업관</t>
        </is>
      </c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(1,056일)</t>
        </is>
      </c>
      <c r="B36" t="inlineStr">
        <is>
          <t>기타(내진보강 외)공사 (사업비 47,708백만원)</t>
        </is>
      </c>
      <c r="C36" t="inlineStr">
        <is>
          <t>리기</t>
        </is>
      </c>
      <c r="D36" t="inlineStr">
        <is>
          <t>술인</t>
        </is>
      </c>
      <c r="E36" t="inlineStr">
        <is>
          <t>2,763</t>
        </is>
      </c>
    </row>
    <row r="37">
      <c r="A37" t="inlineStr"/>
      <c r="B37" t="inlineStr"/>
      <c r="C37" t="inlineStr"/>
      <c r="D37" t="inlineStr"/>
      <c r="E37" t="inlineStr"/>
    </row>
    <row r="38">
      <c r="A38" t="inlineStr">
        <is>
          <t>(1,056일)</t>
        </is>
      </c>
      <c r="B38" t="inlineStr"/>
      <c r="C38" t="inlineStr"/>
      <c r="D38" t="inlineStr"/>
      <c r="E38" t="inlineStr"/>
    </row>
    <row r="39">
      <c r="A39" t="inlineStr"/>
      <c r="B39" t="inlineStr"/>
      <c r="C39" t="inlineStr"/>
      <c r="D39" t="inlineStr"/>
      <c r="E39" t="inlineStr"/>
    </row>
    <row r="40">
      <c r="A40" t="inlineStr"/>
      <c r="B40" t="inlineStr">
        <is>
          <t>파주운정 공공하수처리시설 증설공사 시공단계 감독권한대행 등 건설사</t>
        </is>
      </c>
      <c r="C40" t="inlineStr"/>
      <c r="D40" t="inlineStr"/>
      <c r="E40" t="inlineStr">
        <is>
          <t>건설사업관리(감독권한</t>
        </is>
      </c>
    </row>
    <row r="41">
      <c r="A41" t="inlineStr"/>
      <c r="B41" t="inlineStr"/>
      <c r="C41" t="inlineStr"/>
      <c r="D41" t="inlineStr"/>
      <c r="E41" t="inlineStr"/>
    </row>
    <row r="42">
      <c r="A42" t="inlineStr"/>
      <c r="B42" t="inlineStr">
        <is>
          <t>업관리용역</t>
        </is>
      </c>
      <c r="C42" t="inlineStr">
        <is>
          <t>토목</t>
        </is>
      </c>
      <c r="D42" t="inlineStr"/>
      <c r="E42" t="inlineStr">
        <is>
          <t>대행)</t>
        </is>
      </c>
    </row>
    <row r="43">
      <c r="A43" t="inlineStr"/>
      <c r="B43" t="inlineStr"/>
      <c r="C43" t="inlineStr"/>
      <c r="D43" t="inlineStr"/>
      <c r="E43" t="inlineStr"/>
    </row>
    <row r="44">
      <c r="A44" t="inlineStr">
        <is>
          <t>2023.01.01</t>
        </is>
      </c>
      <c r="B44" t="inlineStr"/>
      <c r="C44" t="inlineStr"/>
      <c r="D44" t="inlineStr"/>
      <c r="E44" t="inlineStr"/>
    </row>
    <row r="45">
      <c r="A45" t="inlineStr">
        <is>
          <t>~</t>
        </is>
      </c>
      <c r="B45" t="inlineStr">
        <is>
          <t>한국토지주택공사 하수종말처리시설</t>
        </is>
      </c>
      <c r="C45" t="inlineStr">
        <is>
          <t>토목</t>
        </is>
      </c>
      <c r="D45" t="inlineStr">
        <is>
          <t>품질관리</t>
        </is>
      </c>
      <c r="E45" t="inlineStr"/>
    </row>
    <row r="46">
      <c r="A46" t="inlineStr">
        <is>
          <t>2024.09.30</t>
        </is>
      </c>
      <c r="B46" t="inlineStr"/>
      <c r="C46" t="inlineStr"/>
      <c r="D46" t="inlineStr"/>
      <c r="E46" t="inlineStr"/>
    </row>
    <row r="47">
      <c r="A47" t="inlineStr"/>
      <c r="B47" t="inlineStr">
        <is>
          <t>하수처리장 Q=60,000㎥/일 [수처리공법 : 간헐접촉포기산화공법(Denipho) 총인</t>
        </is>
      </c>
      <c r="C47" t="inlineStr"/>
      <c r="D47" t="inlineStr"/>
      <c r="E47" t="inlineStr"/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(254일)</t>
        </is>
      </c>
      <c r="B49" t="inlineStr">
        <is>
          <t>시설(가압부상),] 제1중계펌프장 Q=16,500㎥/일, 제2중계펌프장 Q=62,000㎥/일</t>
        </is>
      </c>
      <c r="C49" t="inlineStr">
        <is>
          <t>기술</t>
        </is>
      </c>
      <c r="D49" t="inlineStr">
        <is>
          <t>지원기술인</t>
        </is>
      </c>
      <c r="E49" t="inlineStr">
        <is>
          <t>96,653</t>
        </is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(639일)</t>
        </is>
      </c>
      <c r="B51" t="inlineStr"/>
      <c r="C51" t="inlineStr"/>
      <c r="D51" t="inlineStr"/>
      <c r="E51" t="inlineStr"/>
    </row>
    <row r="52">
      <c r="A52" t="inlineStr"/>
      <c r="B52" t="inlineStr"/>
      <c r="C52" t="inlineStr"/>
      <c r="D52" t="inlineStr"/>
      <c r="E52" t="inlineStr"/>
    </row>
    <row r="53">
      <c r="A53" t="inlineStr"/>
      <c r="B53" t="inlineStr"/>
      <c r="C53" t="inlineStr"/>
      <c r="D53" t="inlineStr"/>
      <c r="E53" t="inlineStr">
        <is>
          <t>건설사업관리(감독권한</t>
        </is>
      </c>
    </row>
    <row r="54">
      <c r="A54" t="inlineStr"/>
      <c r="B54" t="inlineStr"/>
      <c r="C54" t="inlineStr"/>
      <c r="D54" t="inlineStr"/>
      <c r="E54" t="inlineStr"/>
    </row>
    <row r="55">
      <c r="A55" t="inlineStr"/>
      <c r="B55" t="inlineStr">
        <is>
          <t>모산,은실,지산초록(송탄)공원 조성공사 통합건설사업관리용역</t>
        </is>
      </c>
      <c r="C55" t="inlineStr">
        <is>
          <t>토목</t>
        </is>
      </c>
      <c r="D55" t="inlineStr"/>
      <c r="E55" t="inlineStr">
        <is>
          <t>대행)</t>
        </is>
      </c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2024.04.22</t>
        </is>
      </c>
      <c r="B57" t="inlineStr"/>
      <c r="C57" t="inlineStr"/>
      <c r="D57" t="inlineStr"/>
      <c r="E57" t="inlineStr"/>
    </row>
    <row r="58">
      <c r="A58" t="inlineStr">
        <is>
          <t>~</t>
        </is>
      </c>
      <c r="B58" t="inlineStr">
        <is>
          <t>평택시푸른도시사업소 단지조성</t>
        </is>
      </c>
      <c r="C58" t="inlineStr">
        <is>
          <t>토목</t>
        </is>
      </c>
      <c r="D58" t="inlineStr">
        <is>
          <t>품질관리</t>
        </is>
      </c>
      <c r="E58" t="inlineStr"/>
    </row>
    <row r="59">
      <c r="A59" t="inlineStr">
        <is>
          <t>근 무 중</t>
        </is>
      </c>
      <c r="B59" t="inlineStr"/>
      <c r="C59" t="inlineStr"/>
      <c r="D59" t="inlineStr"/>
      <c r="E59" t="inlineStr"/>
    </row>
    <row r="60">
      <c r="A60" t="inlineStr"/>
      <c r="B60" t="inlineStr"/>
      <c r="C60" t="inlineStr"/>
      <c r="D60" t="inlineStr"/>
      <c r="E60" t="inlineStr"/>
    </row>
    <row r="61">
      <c r="A61" t="inlineStr"/>
      <c r="B61" t="inlineStr"/>
      <c r="C61" t="inlineStr"/>
      <c r="D61" t="inlineStr"/>
      <c r="E61" t="inlineStr"/>
    </row>
    <row r="62">
      <c r="A62" t="inlineStr">
        <is>
          <t>(295일)</t>
        </is>
      </c>
      <c r="B62" t="inlineStr">
        <is>
          <t>모산, 은실, 지산초록(송탄)공원 조성공사 (664,427평방미터)</t>
        </is>
      </c>
      <c r="C62" t="inlineStr">
        <is>
          <t>기술</t>
        </is>
      </c>
      <c r="D62" t="inlineStr">
        <is>
          <t>지원기술인</t>
        </is>
      </c>
      <c r="E62" t="inlineStr">
        <is>
          <t>35,805</t>
        </is>
      </c>
    </row>
    <row r="63">
      <c r="A63" t="inlineStr"/>
      <c r="B63" t="inlineStr"/>
      <c r="C63" t="inlineStr"/>
      <c r="D63" t="inlineStr"/>
      <c r="E63" t="inlineStr"/>
    </row>
    <row r="64">
      <c r="A64" t="inlineStr">
        <is>
          <t>(459일)</t>
        </is>
      </c>
      <c r="B64" t="inlineStr"/>
      <c r="C64" t="inlineStr"/>
      <c r="D64" t="inlineStr"/>
      <c r="E64" t="inlineStr"/>
    </row>
    <row r="65">
      <c r="A65" t="inlineStr"/>
      <c r="B65" t="inlineStr"/>
      <c r="C65" t="inlineStr"/>
      <c r="D65" t="inlineStr"/>
      <c r="E65" t="inlineStr"/>
    </row>
    <row r="66">
      <c r="A66" t="inlineStr"/>
      <c r="B66" t="inlineStr"/>
      <c r="C66" t="inlineStr"/>
      <c r="D66" t="inlineStr"/>
      <c r="E66" t="inlineStr">
        <is>
          <t>건설사업관리(감독권한</t>
        </is>
      </c>
    </row>
    <row r="67">
      <c r="A67" t="inlineStr"/>
      <c r="B67" t="inlineStr"/>
      <c r="C67" t="inlineStr"/>
      <c r="D67" t="inlineStr"/>
      <c r="E67" t="inlineStr"/>
    </row>
    <row r="68">
      <c r="A68" t="inlineStr"/>
      <c r="B68" t="inlineStr">
        <is>
          <t>낙화암천(영주지구)하천재해예방사업 건설사업관리용역</t>
        </is>
      </c>
      <c r="C68" t="inlineStr">
        <is>
          <t>토목</t>
        </is>
      </c>
      <c r="D68" t="inlineStr"/>
      <c r="E68" t="inlineStr">
        <is>
          <t>대행)</t>
        </is>
      </c>
    </row>
    <row r="69">
      <c r="A69" t="inlineStr"/>
      <c r="B69" t="inlineStr"/>
      <c r="C69" t="inlineStr"/>
      <c r="D69" t="inlineStr"/>
      <c r="E69" t="inlineStr"/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2024.05.27</t>
        </is>
      </c>
      <c r="B71" t="inlineStr"/>
      <c r="C71" t="inlineStr"/>
      <c r="D71" t="inlineStr"/>
      <c r="E71" t="inlineStr"/>
    </row>
    <row r="72">
      <c r="A72" t="inlineStr">
        <is>
          <t>~</t>
        </is>
      </c>
      <c r="B72" t="inlineStr">
        <is>
          <t>경상북도 하천정비(지방)</t>
        </is>
      </c>
      <c r="C72" t="inlineStr">
        <is>
          <t>토목</t>
        </is>
      </c>
      <c r="D72" t="inlineStr">
        <is>
          <t>시공</t>
        </is>
      </c>
      <c r="E72" t="inlineStr"/>
    </row>
    <row r="73">
      <c r="A73" t="inlineStr">
        <is>
          <t>2025.01.31</t>
        </is>
      </c>
      <c r="B73" t="inlineStr"/>
      <c r="C73" t="inlineStr"/>
      <c r="D73" t="inlineStr"/>
      <c r="E73" t="inlineStr"/>
    </row>
    <row r="74">
      <c r="A74" t="inlineStr"/>
      <c r="B74" t="inlineStr">
        <is>
          <t>축제 및 호안 L=15.262km, 교량공 3개소, 배수구조물 61개소, 낙차공 16개소,</t>
        </is>
      </c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>
        <is>
          <t>(103일)</t>
        </is>
      </c>
      <c r="B76" t="inlineStr">
        <is>
          <t>부대공 1식</t>
        </is>
      </c>
      <c r="C76" t="inlineStr">
        <is>
          <t>기술</t>
        </is>
      </c>
      <c r="D76" t="inlineStr">
        <is>
          <t>지원기술인</t>
        </is>
      </c>
      <c r="E76" t="inlineStr">
        <is>
          <t>39,098</t>
        </is>
      </c>
    </row>
    <row r="77">
      <c r="A77" t="inlineStr"/>
      <c r="B77" t="inlineStr"/>
      <c r="C77" t="inlineStr"/>
      <c r="D77" t="inlineStr"/>
      <c r="E77" t="inlineStr"/>
    </row>
    <row r="78">
      <c r="A78" t="inlineStr">
        <is>
          <t>(250일)</t>
        </is>
      </c>
      <c r="B78" t="inlineStr"/>
      <c r="C78" t="inlineStr"/>
      <c r="D78" t="inlineStr"/>
      <c r="E7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55" customWidth="1" min="1" max="1"/>
    <col width="9" customWidth="1" min="2" max="2"/>
    <col width="12" customWidth="1" min="3" max="3"/>
    <col width="8" customWidth="1" min="4" max="4"/>
    <col width="8" customWidth="1" min="5" max="5"/>
    <col width="8" customWidth="1" min="6" max="6"/>
    <col width="9" customWidth="1" min="7" max="7"/>
    <col width="14" customWidth="1" min="8" max="8"/>
    <col width="8" customWidth="1" min="9" max="9"/>
    <col width="8" customWidth="1" min="10" max="10"/>
  </cols>
  <sheetData>
    <row r="1">
      <c r="A1">
        <f>== merged table 0  (9 x 10) ===</f>
        <v/>
      </c>
    </row>
    <row r="2">
      <c r="A2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참여기간
(인정일)
(참여일)</t>
        </is>
      </c>
      <c r="B3" t="inlineStr">
        <is>
          <t>사업명</t>
        </is>
      </c>
      <c r="C3" t="inlineStr"/>
      <c r="D3" t="inlineStr"/>
      <c r="E3" t="inlineStr"/>
      <c r="F3" t="inlineStr"/>
      <c r="G3" t="inlineStr">
        <is>
          <t>직무분야</t>
        </is>
      </c>
      <c r="H3" t="inlineStr">
        <is>
          <t>담당업무</t>
        </is>
      </c>
      <c r="I3" t="inlineStr"/>
      <c r="J3" t="inlineStr">
        <is>
          <t>비고</t>
        </is>
      </c>
    </row>
    <row r="4">
      <c r="A4" t="inlineStr"/>
      <c r="B4" t="inlineStr">
        <is>
          <t>발주자</t>
        </is>
      </c>
      <c r="C4" t="inlineStr">
        <is>
          <t>공사종류</t>
        </is>
      </c>
      <c r="D4" t="inlineStr"/>
      <c r="E4" t="inlineStr"/>
      <c r="F4" t="inlineStr"/>
      <c r="G4" t="inlineStr">
        <is>
          <t>전문분야</t>
        </is>
      </c>
      <c r="H4" t="inlineStr">
        <is>
          <t>직위</t>
        </is>
      </c>
      <c r="I4" t="inlineStr"/>
      <c r="J4" t="inlineStr"/>
    </row>
    <row r="5">
      <c r="A5" t="inlineStr"/>
      <c r="B5" t="inlineStr">
        <is>
          <t>공사(용역)개요</t>
        </is>
      </c>
      <c r="C5" t="inlineStr"/>
      <c r="D5" t="inlineStr"/>
      <c r="E5" t="inlineStr"/>
      <c r="F5" t="inlineStr"/>
      <c r="G5" t="inlineStr">
        <is>
          <t>책임정도</t>
        </is>
      </c>
      <c r="H5" t="inlineStr">
        <is>
          <t>공사(용역)금액(백만원)</t>
        </is>
      </c>
      <c r="I5" t="inlineStr"/>
      <c r="J5" t="inlineStr"/>
    </row>
    <row r="6">
      <c r="A6" t="inlineStr"/>
      <c r="B6" t="inlineStr">
        <is>
          <t>적용 공법</t>
        </is>
      </c>
      <c r="C6" t="inlineStr">
        <is>
          <t>적용 융ㆍ복합건설기술</t>
        </is>
      </c>
      <c r="D6" t="inlineStr"/>
      <c r="E6" t="inlineStr"/>
      <c r="F6" t="inlineStr"/>
      <c r="G6" t="inlineStr">
        <is>
          <t>적용 신기술 등</t>
        </is>
      </c>
      <c r="H6" t="inlineStr">
        <is>
          <t>시설물 종류</t>
        </is>
      </c>
      <c r="I6" t="inlineStr"/>
      <c r="J6" t="inlineStr"/>
    </row>
    <row r="7">
      <c r="A7" t="inlineStr">
        <is>
          <t>○ 건설사업관리 업무 수행기간 : 4,885 일
- 상 주 : 4,232 일[감독 권한대행 등 건설사업관리 : 4,232 일, 시공 단계 건설사업관리 : 0 일]
- 기술지원 : 653 일[감독 권한대행 등 건설사업관리 : 653 일, 시공 단계 건설사업관리 : 0 일]
○ 감리 업무 수행기간 : 0 일
- 상 주 : 0 일[공동주택 : 0 일, 다중이용시설 : 0 일]
- 기술지원 : 0 일[공동주택 : 0 일, 다중이용시설 : 0 일]
○ 건설사업관리기술인으로서 안전관리 업무 수행기간 : 0 일
※ 업무 수행 중복기간은 건수로 나누어 산정하여 기록함
상 주 0 건 상 주 0 건
○ 건설사업관리 및 감리(최근 1년간) 용역 완성비율 : 100 % (참여건수: , 완료건수 : )
기술지원 3 건 기술지원 3 건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3. 배치금지( 「건설기술 진흥법 시행규칙」 제27조제2항제4호에 따라 철수한 경우만 기재)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용역명</t>
        </is>
      </c>
      <c r="B9" t="inlineStr"/>
      <c r="C9" t="inlineStr"/>
      <c r="D9" t="inlineStr">
        <is>
          <t>근무형태</t>
        </is>
      </c>
      <c r="E9" t="inlineStr">
        <is>
          <t>직책</t>
        </is>
      </c>
      <c r="F9" t="inlineStr">
        <is>
          <t>근무기간</t>
        </is>
      </c>
      <c r="G9" t="inlineStr"/>
      <c r="H9" t="inlineStr"/>
      <c r="I9" t="inlineStr">
        <is>
          <t>배치금지 기간</t>
        </is>
      </c>
      <c r="J9" t="inlineStr"/>
    </row>
    <row r="10">
      <c r="A10" t="inlineStr">
        <is>
          <t>** 해당없음 **</t>
        </is>
      </c>
      <c r="B10" t="inlineStr"/>
      <c r="C10" t="inlineStr"/>
      <c r="D10" t="inlineStr"/>
      <c r="E10" t="inlineStr"/>
      <c r="F10" t="inlineStr">
        <is>
          <t>~</t>
        </is>
      </c>
      <c r="G10" t="inlineStr"/>
      <c r="H10" t="inlineStr"/>
      <c r="I10" t="inlineStr">
        <is>
          <t>~</t>
        </is>
      </c>
      <c r="J1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>
        <f>== merged table 0  (2 x 5) ===</f>
        <v/>
      </c>
    </row>
    <row r="2">
      <c r="A2" t="inlineStr">
        <is>
          <t>종목 및 등급</t>
        </is>
      </c>
      <c r="B2" t="inlineStr">
        <is>
          <t>합격일</t>
        </is>
      </c>
      <c r="C2" t="inlineStr">
        <is>
          <t>등록번호</t>
        </is>
      </c>
      <c r="D2" t="inlineStr">
        <is>
          <t>종목 및 등급</t>
        </is>
      </c>
      <c r="E2" t="inlineStr">
        <is>
          <t>합격일</t>
        </is>
      </c>
    </row>
    <row r="3">
      <c r="A3" t="inlineStr">
        <is>
          <t>** 해당없음 **</t>
        </is>
      </c>
      <c r="B3" t="inlineStr"/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2026-04-21T05:42:10Z</dcterms:created>
  <dcterms:modified xsi:type="dcterms:W3CDTF">2026-04-21T05:42:13Z</dcterms:modified>
</cp:coreProperties>
</file>